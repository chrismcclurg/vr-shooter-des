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2025-06/dat/definition/"/>
    </mc:Choice>
  </mc:AlternateContent>
  <xr:revisionPtr revIDLastSave="541" documentId="13_ncr:1_{C9160A41-A83F-49D8-8E3E-EDF5EDFCC1A8}" xr6:coauthVersionLast="47" xr6:coauthVersionMax="47" xr10:uidLastSave="{5018EDA4-B9F0-4031-8C74-3EA0EEF1AE46}"/>
  <bookViews>
    <workbookView xWindow="-289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Sheet1!$C$1:$C$83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</calcChain>
</file>

<file path=xl/sharedStrings.xml><?xml version="1.0" encoding="utf-8"?>
<sst xmlns="http://schemas.openxmlformats.org/spreadsheetml/2006/main" count="126" uniqueCount="113">
  <si>
    <t>node</t>
  </si>
  <si>
    <t>access</t>
  </si>
  <si>
    <t>location</t>
  </si>
  <si>
    <t>connectivity</t>
  </si>
  <si>
    <t>inside</t>
  </si>
  <si>
    <t>west_stairs_110</t>
  </si>
  <si>
    <t>hallway_102</t>
  </si>
  <si>
    <t>hallway_103</t>
  </si>
  <si>
    <t>hallway_104</t>
  </si>
  <si>
    <t>hallway_105</t>
  </si>
  <si>
    <t>hallway_106</t>
  </si>
  <si>
    <t>hallway_107</t>
  </si>
  <si>
    <t>hallway_108</t>
  </si>
  <si>
    <t>hallway_111</t>
  </si>
  <si>
    <t>hallway_112</t>
  </si>
  <si>
    <t>hallway_113</t>
  </si>
  <si>
    <t>hallway_114</t>
  </si>
  <si>
    <t>hallway_115</t>
  </si>
  <si>
    <t>hallway_116</t>
  </si>
  <si>
    <t>hallway_117</t>
  </si>
  <si>
    <t>hallway_118</t>
  </si>
  <si>
    <t>hallway_119</t>
  </si>
  <si>
    <t>hallway_121</t>
  </si>
  <si>
    <t>hallway_122</t>
  </si>
  <si>
    <t>hallway_123</t>
  </si>
  <si>
    <t>hallway_124</t>
  </si>
  <si>
    <t>hallway_125</t>
  </si>
  <si>
    <t>hallway_126</t>
  </si>
  <si>
    <t>hallway_127</t>
  </si>
  <si>
    <t>hallway_128</t>
  </si>
  <si>
    <t>hallway_129</t>
  </si>
  <si>
    <t>offices_001</t>
  </si>
  <si>
    <t>classroom_002</t>
  </si>
  <si>
    <t>classroom_010</t>
  </si>
  <si>
    <t>classroom_011</t>
  </si>
  <si>
    <t>classroom_012</t>
  </si>
  <si>
    <t>classroom_013</t>
  </si>
  <si>
    <t>classroom_014</t>
  </si>
  <si>
    <t>classroom_015</t>
  </si>
  <si>
    <t>classroom_016</t>
  </si>
  <si>
    <t>classroom_017</t>
  </si>
  <si>
    <t>classroom_018</t>
  </si>
  <si>
    <t>classroom_021</t>
  </si>
  <si>
    <t>classroom_029</t>
  </si>
  <si>
    <t>classroom_030</t>
  </si>
  <si>
    <t>classroom_031</t>
  </si>
  <si>
    <t>classroom_032</t>
  </si>
  <si>
    <t>classroom_033</t>
  </si>
  <si>
    <t>classroom_034</t>
  </si>
  <si>
    <t>classroom_035</t>
  </si>
  <si>
    <t>classroom_036</t>
  </si>
  <si>
    <t>classroom_037</t>
  </si>
  <si>
    <t>bathroom_008</t>
  </si>
  <si>
    <t>bathroom_009</t>
  </si>
  <si>
    <t>bathroom_027</t>
  </si>
  <si>
    <t>bathroom_028</t>
  </si>
  <si>
    <t>classroom_041</t>
  </si>
  <si>
    <t>n/a</t>
  </si>
  <si>
    <t>teacher_lounge_040</t>
  </si>
  <si>
    <t>classroom_049</t>
  </si>
  <si>
    <t>classroom_050</t>
  </si>
  <si>
    <t>classroom_051</t>
  </si>
  <si>
    <t>classroom_052</t>
  </si>
  <si>
    <t>classroom_053</t>
  </si>
  <si>
    <t>classroom_054</t>
  </si>
  <si>
    <t>classroom_055</t>
  </si>
  <si>
    <t>classroom_056</t>
  </si>
  <si>
    <t>bathroom_047</t>
  </si>
  <si>
    <t>bathroom_048</t>
  </si>
  <si>
    <t>classroom_057</t>
  </si>
  <si>
    <t>west_entrance_109</t>
  </si>
  <si>
    <t>east_entrance_101</t>
  </si>
  <si>
    <t>east_stairs_100</t>
  </si>
  <si>
    <t>18, 101, 103</t>
  </si>
  <si>
    <t>16, 17, 102, 104</t>
  </si>
  <si>
    <t>14, 15, 103, 105</t>
  </si>
  <si>
    <t>12, 13, 104, 106</t>
  </si>
  <si>
    <t>8, 9, 10, 11, 105, 107</t>
  </si>
  <si>
    <t>4, 5, 107</t>
  </si>
  <si>
    <t>0, 1, 107, 110</t>
  </si>
  <si>
    <t>2, 6, 7, 106, 108, 109</t>
  </si>
  <si>
    <t>100, 112</t>
  </si>
  <si>
    <t>0, 109, 119, 129</t>
  </si>
  <si>
    <t>111, 113</t>
  </si>
  <si>
    <t>35, 36, 112, 114</t>
  </si>
  <si>
    <t>33, 34, 113, 115</t>
  </si>
  <si>
    <t>31, 32, 114, 116</t>
  </si>
  <si>
    <t>27, 28, 29, 30, 115, 117</t>
  </si>
  <si>
    <t>21, 25, 26, 116, 118, 119</t>
  </si>
  <si>
    <t>23, 24, 117</t>
  </si>
  <si>
    <t>20, 110, 117</t>
  </si>
  <si>
    <t>100, 122</t>
  </si>
  <si>
    <t>57, 121, 123</t>
  </si>
  <si>
    <t>55, 56, 122, 124</t>
  </si>
  <si>
    <t>53, 54, 123, 125</t>
  </si>
  <si>
    <t>51, 52, 124, 126</t>
  </si>
  <si>
    <t>47, 48, 49, 50, 125, 127</t>
  </si>
  <si>
    <t>41, 45, 46, 126, 128, 129</t>
  </si>
  <si>
    <t>43, 44, 127</t>
  </si>
  <si>
    <t>40, 110, 127</t>
  </si>
  <si>
    <t>3, 109, 110</t>
  </si>
  <si>
    <t>0, 100, 101</t>
  </si>
  <si>
    <t>3, 101, 111, 121</t>
  </si>
  <si>
    <t>3, 100, 102</t>
  </si>
  <si>
    <t>west_outside_000</t>
  </si>
  <si>
    <t>east_outside_003</t>
  </si>
  <si>
    <t>counts</t>
  </si>
  <si>
    <t>is_outside</t>
  </si>
  <si>
    <t>is_hallway</t>
  </si>
  <si>
    <t>is_classroom</t>
  </si>
  <si>
    <t>is_common</t>
  </si>
  <si>
    <t>is_entrance</t>
  </si>
  <si>
    <t>is_stair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</si>
</sst>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4" customWidth="1"/>
    <col min="2" max="2" width="5.140625" style="7" customWidth="1"/>
    <col min="3" max="3" width="6.85546875" style="7" customWidth="1"/>
    <col min="4" max="4" width="19.28515625" customWidth="1"/>
    <col min="5" max="5" width="28.5703125" style="9" bestFit="1" customWidth="1"/>
    <col min="6" max="6" width="8.7109375" style="7"/>
    <col min="7" max="7" width="9.42578125" style="7" bestFit="1" customWidth="1"/>
    <col min="8" max="8" width="10.5703125" style="7" bestFit="1" customWidth="1"/>
    <col min="9" max="9" width="7.5703125" style="7" bestFit="1" customWidth="1"/>
    <col min="10" max="10" width="9.42578125" style="7" bestFit="1" customWidth="1"/>
    <col min="11" max="11" width="11.5703125" style="7" bestFit="1" customWidth="1"/>
    <col min="12" max="12" width="10.5703125" style="7" bestFit="1" customWidth="1"/>
  </cols>
  <sheetData>
    <row r="1" spans="1:12" x14ac:dyDescent="0.25">
      <c r="A1" s="2"/>
      <c r="B1" s="1" t="s">
        <v>0</v>
      </c>
      <c r="C1" s="1" t="s">
        <v>1</v>
      </c>
      <c r="D1" s="1" t="s">
        <v>2</v>
      </c>
      <c r="E1" s="3" t="s">
        <v>3</v>
      </c>
      <c r="F1" s="5" t="s">
        <v>4</v>
      </c>
      <c r="G1" s="5" t="s">
        <v>107</v>
      </c>
      <c r="H1" s="5" t="s">
        <v>111</v>
      </c>
      <c r="I1" s="5" t="s">
        <v>112</v>
      </c>
      <c r="J1" s="5" t="s">
        <v>108</v>
      </c>
      <c r="K1" s="5" t="s">
        <v>109</v>
      </c>
      <c r="L1" s="5" t="s">
        <v>110</v>
      </c>
    </row>
    <row r="2" spans="1:12" x14ac:dyDescent="0.25">
      <c r="A2" s="1">
        <v>0</v>
      </c>
      <c r="B2" s="6">
        <v>0</v>
      </c>
      <c r="C2" s="6">
        <v>1</v>
      </c>
      <c r="D2" s="2" t="s">
        <v>104</v>
      </c>
      <c r="E2" s="4" t="s">
        <v>100</v>
      </c>
      <c r="F2" s="6">
        <v>0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5">
      <c r="A3" s="1">
        <v>1</v>
      </c>
      <c r="B3" s="6">
        <v>1</v>
      </c>
      <c r="C3" s="6">
        <v>0</v>
      </c>
      <c r="D3" s="2" t="s">
        <v>31</v>
      </c>
      <c r="E3" s="4">
        <v>109</v>
      </c>
      <c r="F3" s="6">
        <f>VLOOKUP(B3, Sheet2!$A$2:$B$83, 2, FALSE)</f>
        <v>128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1</v>
      </c>
    </row>
    <row r="4" spans="1:12" x14ac:dyDescent="0.25">
      <c r="A4" s="1">
        <v>2</v>
      </c>
      <c r="B4" s="6">
        <v>2</v>
      </c>
      <c r="C4" s="6">
        <v>0</v>
      </c>
      <c r="D4" s="2" t="s">
        <v>32</v>
      </c>
      <c r="E4" s="4">
        <v>107</v>
      </c>
      <c r="F4" s="6">
        <f>VLOOKUP(B4, Sheet2!$A$2:$B$83, 2, FALSE)</f>
        <v>108</v>
      </c>
      <c r="G4" s="6">
        <v>0</v>
      </c>
      <c r="H4" s="6">
        <v>0</v>
      </c>
      <c r="I4" s="6">
        <v>0</v>
      </c>
      <c r="J4" s="6">
        <v>0</v>
      </c>
      <c r="K4" s="6">
        <v>1</v>
      </c>
      <c r="L4" s="6">
        <v>0</v>
      </c>
    </row>
    <row r="5" spans="1:12" x14ac:dyDescent="0.25">
      <c r="A5" s="1">
        <v>3</v>
      </c>
      <c r="B5" s="6">
        <v>3</v>
      </c>
      <c r="C5" s="6">
        <v>1</v>
      </c>
      <c r="D5" s="2" t="s">
        <v>105</v>
      </c>
      <c r="E5" s="4" t="s">
        <v>101</v>
      </c>
      <c r="F5" s="6">
        <v>0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5">
      <c r="A6" s="1">
        <v>4</v>
      </c>
      <c r="B6" s="6">
        <v>4</v>
      </c>
      <c r="C6" s="6">
        <v>0</v>
      </c>
      <c r="D6" s="2" t="s">
        <v>57</v>
      </c>
      <c r="E6" s="4">
        <v>108</v>
      </c>
      <c r="F6" s="6">
        <f>VLOOKUP(B6, Sheet2!$A$2:$B$83, 2, FALSE)</f>
        <v>60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5">
      <c r="A7" s="1">
        <v>5</v>
      </c>
      <c r="B7" s="6">
        <v>5</v>
      </c>
      <c r="C7" s="6">
        <v>0</v>
      </c>
      <c r="D7" s="2" t="s">
        <v>57</v>
      </c>
      <c r="E7" s="4">
        <v>108</v>
      </c>
      <c r="F7" s="6">
        <f>VLOOKUP(B7, Sheet2!$A$2:$B$83, 2, FALSE)</f>
        <v>20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5">
      <c r="A8" s="1">
        <v>6</v>
      </c>
      <c r="B8" s="6">
        <v>6</v>
      </c>
      <c r="C8" s="6">
        <v>0</v>
      </c>
      <c r="D8" s="2" t="s">
        <v>57</v>
      </c>
      <c r="E8" s="4">
        <v>107</v>
      </c>
      <c r="F8" s="6">
        <f>VLOOKUP(B8, Sheet2!$A$2:$B$83, 2, FALSE)</f>
        <v>9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5">
      <c r="A9" s="1">
        <v>7</v>
      </c>
      <c r="B9" s="6">
        <v>7</v>
      </c>
      <c r="C9" s="6">
        <v>0</v>
      </c>
      <c r="D9" s="2" t="s">
        <v>57</v>
      </c>
      <c r="E9" s="4">
        <v>107</v>
      </c>
      <c r="F9" s="6">
        <f>VLOOKUP(B9, Sheet2!$A$2:$B$83, 2, FALSE)</f>
        <v>6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5">
      <c r="A10" s="1">
        <v>8</v>
      </c>
      <c r="B10" s="6">
        <v>8</v>
      </c>
      <c r="C10" s="6">
        <v>1</v>
      </c>
      <c r="D10" s="2" t="s">
        <v>52</v>
      </c>
      <c r="E10" s="4">
        <v>106</v>
      </c>
      <c r="F10" s="6">
        <f>VLOOKUP(B10, Sheet2!$A$2:$B$83, 2, FALSE)</f>
        <v>48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1</v>
      </c>
    </row>
    <row r="11" spans="1:12" x14ac:dyDescent="0.25">
      <c r="A11" s="1">
        <v>9</v>
      </c>
      <c r="B11" s="6">
        <v>9</v>
      </c>
      <c r="C11" s="6">
        <v>1</v>
      </c>
      <c r="D11" s="2" t="s">
        <v>53</v>
      </c>
      <c r="E11" s="4">
        <v>106</v>
      </c>
      <c r="F11" s="6">
        <f>VLOOKUP(B11, Sheet2!$A$2:$B$83, 2, FALSE)</f>
        <v>48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</row>
    <row r="12" spans="1:12" x14ac:dyDescent="0.25">
      <c r="A12" s="1">
        <v>10</v>
      </c>
      <c r="B12" s="6">
        <v>10</v>
      </c>
      <c r="C12" s="6">
        <v>0</v>
      </c>
      <c r="D12" s="2" t="s">
        <v>33</v>
      </c>
      <c r="E12" s="4">
        <v>106</v>
      </c>
      <c r="F12" s="6">
        <f>VLOOKUP(B12, Sheet2!$A$2:$B$83, 2, FALSE)</f>
        <v>108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</row>
    <row r="13" spans="1:12" x14ac:dyDescent="0.25">
      <c r="A13" s="1">
        <v>11</v>
      </c>
      <c r="B13" s="6">
        <v>11</v>
      </c>
      <c r="C13" s="6">
        <v>0</v>
      </c>
      <c r="D13" s="2" t="s">
        <v>34</v>
      </c>
      <c r="E13" s="4">
        <v>106</v>
      </c>
      <c r="F13" s="6">
        <f>VLOOKUP(B13, Sheet2!$A$2:$B$83, 2, FALSE)</f>
        <v>108</v>
      </c>
      <c r="G13" s="6">
        <v>0</v>
      </c>
      <c r="H13" s="6">
        <v>0</v>
      </c>
      <c r="I13" s="6">
        <v>0</v>
      </c>
      <c r="J13" s="6">
        <v>0</v>
      </c>
      <c r="K13" s="6">
        <v>1</v>
      </c>
      <c r="L13" s="6">
        <v>0</v>
      </c>
    </row>
    <row r="14" spans="1:12" x14ac:dyDescent="0.25">
      <c r="A14" s="1">
        <v>12</v>
      </c>
      <c r="B14" s="6">
        <v>12</v>
      </c>
      <c r="C14" s="6">
        <v>0</v>
      </c>
      <c r="D14" s="2" t="s">
        <v>35</v>
      </c>
      <c r="E14" s="4">
        <v>105</v>
      </c>
      <c r="F14" s="6">
        <f>VLOOKUP(B14, Sheet2!$A$2:$B$83, 2, FALSE)</f>
        <v>108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</row>
    <row r="15" spans="1:12" x14ac:dyDescent="0.25">
      <c r="A15" s="1">
        <v>13</v>
      </c>
      <c r="B15" s="6">
        <v>13</v>
      </c>
      <c r="C15" s="6">
        <v>0</v>
      </c>
      <c r="D15" s="2" t="s">
        <v>36</v>
      </c>
      <c r="E15" s="4">
        <v>105</v>
      </c>
      <c r="F15" s="6">
        <f>VLOOKUP(B15, Sheet2!$A$2:$B$83, 2, FALSE)</f>
        <v>96</v>
      </c>
      <c r="G15" s="6">
        <v>0</v>
      </c>
      <c r="H15" s="6">
        <v>0</v>
      </c>
      <c r="I15" s="6">
        <v>0</v>
      </c>
      <c r="J15" s="6">
        <v>0</v>
      </c>
      <c r="K15" s="6">
        <v>1</v>
      </c>
      <c r="L15" s="6">
        <v>0</v>
      </c>
    </row>
    <row r="16" spans="1:12" x14ac:dyDescent="0.25">
      <c r="A16" s="1">
        <v>14</v>
      </c>
      <c r="B16" s="6">
        <v>14</v>
      </c>
      <c r="C16" s="6">
        <v>0</v>
      </c>
      <c r="D16" s="2" t="s">
        <v>37</v>
      </c>
      <c r="E16" s="4">
        <v>104</v>
      </c>
      <c r="F16" s="6">
        <f>VLOOKUP(B16, Sheet2!$A$2:$B$83, 2, FALSE)</f>
        <v>96</v>
      </c>
      <c r="G16" s="6">
        <v>0</v>
      </c>
      <c r="H16" s="6">
        <v>0</v>
      </c>
      <c r="I16" s="6">
        <v>0</v>
      </c>
      <c r="J16" s="6">
        <v>0</v>
      </c>
      <c r="K16" s="6">
        <v>1</v>
      </c>
      <c r="L16" s="6">
        <v>0</v>
      </c>
    </row>
    <row r="17" spans="1:12" x14ac:dyDescent="0.25">
      <c r="A17" s="1">
        <v>15</v>
      </c>
      <c r="B17" s="6">
        <v>15</v>
      </c>
      <c r="C17" s="6">
        <v>0</v>
      </c>
      <c r="D17" s="2" t="s">
        <v>38</v>
      </c>
      <c r="E17" s="4">
        <v>104</v>
      </c>
      <c r="F17" s="6">
        <f>VLOOKUP(B17, Sheet2!$A$2:$B$83, 2, FALSE)</f>
        <v>108</v>
      </c>
      <c r="G17" s="6">
        <v>0</v>
      </c>
      <c r="H17" s="6">
        <v>0</v>
      </c>
      <c r="I17" s="6">
        <v>0</v>
      </c>
      <c r="J17" s="6">
        <v>0</v>
      </c>
      <c r="K17" s="6">
        <v>1</v>
      </c>
      <c r="L17" s="6">
        <v>0</v>
      </c>
    </row>
    <row r="18" spans="1:12" x14ac:dyDescent="0.25">
      <c r="A18" s="1">
        <v>16</v>
      </c>
      <c r="B18" s="6">
        <v>16</v>
      </c>
      <c r="C18" s="6">
        <v>0</v>
      </c>
      <c r="D18" s="2" t="s">
        <v>39</v>
      </c>
      <c r="E18" s="4">
        <v>103</v>
      </c>
      <c r="F18" s="6">
        <f>VLOOKUP(B18, Sheet2!$A$2:$B$83, 2, FALSE)</f>
        <v>108</v>
      </c>
      <c r="G18" s="6">
        <v>0</v>
      </c>
      <c r="H18" s="6">
        <v>0</v>
      </c>
      <c r="I18" s="6">
        <v>0</v>
      </c>
      <c r="J18" s="6">
        <v>0</v>
      </c>
      <c r="K18" s="6">
        <v>1</v>
      </c>
      <c r="L18" s="6">
        <v>0</v>
      </c>
    </row>
    <row r="19" spans="1:12" x14ac:dyDescent="0.25">
      <c r="A19" s="1">
        <v>17</v>
      </c>
      <c r="B19" s="6">
        <v>17</v>
      </c>
      <c r="C19" s="6">
        <v>0</v>
      </c>
      <c r="D19" s="2" t="s">
        <v>40</v>
      </c>
      <c r="E19" s="4">
        <v>103</v>
      </c>
      <c r="F19" s="6">
        <f>VLOOKUP(B19, Sheet2!$A$2:$B$83, 2, FALSE)</f>
        <v>108</v>
      </c>
      <c r="G19" s="6">
        <v>0</v>
      </c>
      <c r="H19" s="6">
        <v>0</v>
      </c>
      <c r="I19" s="6">
        <v>0</v>
      </c>
      <c r="J19" s="6">
        <v>0</v>
      </c>
      <c r="K19" s="6">
        <v>1</v>
      </c>
      <c r="L19" s="6">
        <v>0</v>
      </c>
    </row>
    <row r="20" spans="1:12" x14ac:dyDescent="0.25">
      <c r="A20" s="1">
        <v>18</v>
      </c>
      <c r="B20" s="6">
        <v>18</v>
      </c>
      <c r="C20" s="6">
        <v>0</v>
      </c>
      <c r="D20" s="2" t="s">
        <v>41</v>
      </c>
      <c r="E20" s="4">
        <v>102</v>
      </c>
      <c r="F20" s="6">
        <f>VLOOKUP(B20, Sheet2!$A$2:$B$83, 2, FALSE)</f>
        <v>108</v>
      </c>
      <c r="G20" s="6">
        <v>0</v>
      </c>
      <c r="H20" s="6">
        <v>0</v>
      </c>
      <c r="I20" s="6">
        <v>0</v>
      </c>
      <c r="J20" s="6">
        <v>0</v>
      </c>
      <c r="K20" s="6">
        <v>1</v>
      </c>
      <c r="L20" s="6">
        <v>0</v>
      </c>
    </row>
    <row r="21" spans="1:12" x14ac:dyDescent="0.25">
      <c r="A21" s="1">
        <v>19</v>
      </c>
      <c r="B21" s="6">
        <v>20</v>
      </c>
      <c r="C21" s="6">
        <v>0</v>
      </c>
      <c r="D21" s="2" t="s">
        <v>57</v>
      </c>
      <c r="E21" s="4">
        <v>119</v>
      </c>
      <c r="F21" s="6">
        <f>VLOOKUP(B21, Sheet2!$A$2:$B$83, 2, FALSE)</f>
        <v>128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5">
      <c r="A22" s="1">
        <v>20</v>
      </c>
      <c r="B22" s="6">
        <v>21</v>
      </c>
      <c r="C22" s="6">
        <v>0</v>
      </c>
      <c r="D22" s="2" t="s">
        <v>42</v>
      </c>
      <c r="E22" s="4">
        <v>117</v>
      </c>
      <c r="F22" s="6">
        <f>VLOOKUP(B22, Sheet2!$A$2:$B$83, 2, FALSE)</f>
        <v>106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</row>
    <row r="23" spans="1:12" x14ac:dyDescent="0.25">
      <c r="A23" s="1">
        <v>21</v>
      </c>
      <c r="B23" s="6">
        <v>23</v>
      </c>
      <c r="C23" s="6">
        <v>0</v>
      </c>
      <c r="D23" s="2" t="s">
        <v>57</v>
      </c>
      <c r="E23" s="4">
        <v>118</v>
      </c>
      <c r="F23" s="6">
        <f>VLOOKUP(B23, Sheet2!$A$2:$B$83, 2, FALSE)</f>
        <v>60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5">
      <c r="A24" s="1">
        <v>22</v>
      </c>
      <c r="B24" s="6">
        <v>24</v>
      </c>
      <c r="C24" s="6">
        <v>0</v>
      </c>
      <c r="D24" s="2" t="s">
        <v>57</v>
      </c>
      <c r="E24" s="4">
        <v>118</v>
      </c>
      <c r="F24" s="6">
        <f>VLOOKUP(B24, Sheet2!$A$2:$B$83, 2, FALSE)</f>
        <v>20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5">
      <c r="A25" s="1">
        <v>23</v>
      </c>
      <c r="B25" s="6">
        <v>25</v>
      </c>
      <c r="C25" s="6">
        <v>0</v>
      </c>
      <c r="D25" s="2" t="s">
        <v>57</v>
      </c>
      <c r="E25" s="4">
        <v>117</v>
      </c>
      <c r="F25" s="6">
        <f>VLOOKUP(B25, Sheet2!$A$2:$B$83, 2, FALSE)</f>
        <v>9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5">
      <c r="A26" s="1">
        <v>24</v>
      </c>
      <c r="B26" s="6">
        <v>26</v>
      </c>
      <c r="C26" s="6">
        <v>0</v>
      </c>
      <c r="D26" s="2" t="s">
        <v>57</v>
      </c>
      <c r="E26" s="4">
        <v>117</v>
      </c>
      <c r="F26" s="6">
        <f>VLOOKUP(B26, Sheet2!$A$2:$B$83, 2, FALSE)</f>
        <v>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5">
      <c r="A27" s="1">
        <v>25</v>
      </c>
      <c r="B27" s="6">
        <v>27</v>
      </c>
      <c r="C27" s="6">
        <v>1</v>
      </c>
      <c r="D27" s="2" t="s">
        <v>54</v>
      </c>
      <c r="E27" s="4">
        <v>116</v>
      </c>
      <c r="F27" s="6">
        <f>VLOOKUP(B27, Sheet2!$A$2:$B$83, 2, FALSE)</f>
        <v>48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1</v>
      </c>
    </row>
    <row r="28" spans="1:12" x14ac:dyDescent="0.25">
      <c r="A28" s="1">
        <v>26</v>
      </c>
      <c r="B28" s="6">
        <v>28</v>
      </c>
      <c r="C28" s="6">
        <v>1</v>
      </c>
      <c r="D28" s="2" t="s">
        <v>55</v>
      </c>
      <c r="E28" s="4">
        <v>116</v>
      </c>
      <c r="F28" s="6">
        <f>VLOOKUP(B28, Sheet2!$A$2:$B$83, 2, FALSE)</f>
        <v>48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1</v>
      </c>
    </row>
    <row r="29" spans="1:12" x14ac:dyDescent="0.25">
      <c r="A29" s="1">
        <v>27</v>
      </c>
      <c r="B29" s="6">
        <v>29</v>
      </c>
      <c r="C29" s="6">
        <v>0</v>
      </c>
      <c r="D29" s="2" t="s">
        <v>43</v>
      </c>
      <c r="E29" s="4">
        <v>116</v>
      </c>
      <c r="F29" s="6">
        <f>VLOOKUP(B29, Sheet2!$A$2:$B$83, 2, FALSE)</f>
        <v>106</v>
      </c>
      <c r="G29" s="6">
        <v>0</v>
      </c>
      <c r="H29" s="6">
        <v>0</v>
      </c>
      <c r="I29" s="6">
        <v>0</v>
      </c>
      <c r="J29" s="6">
        <v>0</v>
      </c>
      <c r="K29" s="6">
        <v>1</v>
      </c>
      <c r="L29" s="6">
        <v>0</v>
      </c>
    </row>
    <row r="30" spans="1:12" x14ac:dyDescent="0.25">
      <c r="A30" s="1">
        <v>28</v>
      </c>
      <c r="B30" s="6">
        <v>30</v>
      </c>
      <c r="C30" s="6">
        <v>0</v>
      </c>
      <c r="D30" s="2" t="s">
        <v>44</v>
      </c>
      <c r="E30" s="4">
        <v>116</v>
      </c>
      <c r="F30" s="6">
        <f>VLOOKUP(B30, Sheet2!$A$2:$B$83, 2, FALSE)</f>
        <v>106</v>
      </c>
      <c r="G30" s="6">
        <v>0</v>
      </c>
      <c r="H30" s="6">
        <v>0</v>
      </c>
      <c r="I30" s="6">
        <v>0</v>
      </c>
      <c r="J30" s="6">
        <v>0</v>
      </c>
      <c r="K30" s="6">
        <v>1</v>
      </c>
      <c r="L30" s="6">
        <v>0</v>
      </c>
    </row>
    <row r="31" spans="1:12" x14ac:dyDescent="0.25">
      <c r="A31" s="1">
        <v>29</v>
      </c>
      <c r="B31" s="6">
        <v>31</v>
      </c>
      <c r="C31" s="6">
        <v>0</v>
      </c>
      <c r="D31" s="2" t="s">
        <v>45</v>
      </c>
      <c r="E31" s="4">
        <v>115</v>
      </c>
      <c r="F31" s="6">
        <f>VLOOKUP(B31, Sheet2!$A$2:$B$83, 2, FALSE)</f>
        <v>105</v>
      </c>
      <c r="G31" s="6">
        <v>0</v>
      </c>
      <c r="H31" s="6">
        <v>0</v>
      </c>
      <c r="I31" s="6">
        <v>0</v>
      </c>
      <c r="J31" s="6">
        <v>0</v>
      </c>
      <c r="K31" s="6">
        <v>1</v>
      </c>
      <c r="L31" s="6">
        <v>0</v>
      </c>
    </row>
    <row r="32" spans="1:12" x14ac:dyDescent="0.25">
      <c r="A32" s="1">
        <v>30</v>
      </c>
      <c r="B32" s="6">
        <v>32</v>
      </c>
      <c r="C32" s="6">
        <v>0</v>
      </c>
      <c r="D32" s="2" t="s">
        <v>46</v>
      </c>
      <c r="E32" s="4">
        <v>115</v>
      </c>
      <c r="F32" s="6">
        <f>VLOOKUP(B32, Sheet2!$A$2:$B$83, 2, FALSE)</f>
        <v>94</v>
      </c>
      <c r="G32" s="6">
        <v>0</v>
      </c>
      <c r="H32" s="6">
        <v>0</v>
      </c>
      <c r="I32" s="6">
        <v>0</v>
      </c>
      <c r="J32" s="6">
        <v>0</v>
      </c>
      <c r="K32" s="6">
        <v>1</v>
      </c>
      <c r="L32" s="6">
        <v>0</v>
      </c>
    </row>
    <row r="33" spans="1:12" x14ac:dyDescent="0.25">
      <c r="A33" s="1">
        <v>31</v>
      </c>
      <c r="B33" s="6">
        <v>33</v>
      </c>
      <c r="C33" s="6">
        <v>0</v>
      </c>
      <c r="D33" s="2" t="s">
        <v>47</v>
      </c>
      <c r="E33" s="4">
        <v>114</v>
      </c>
      <c r="F33" s="6">
        <f>VLOOKUP(B33, Sheet2!$A$2:$B$83, 2, FALSE)</f>
        <v>94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</row>
    <row r="34" spans="1:12" x14ac:dyDescent="0.25">
      <c r="A34" s="1">
        <v>32</v>
      </c>
      <c r="B34" s="6">
        <v>34</v>
      </c>
      <c r="C34" s="6">
        <v>0</v>
      </c>
      <c r="D34" s="2" t="s">
        <v>48</v>
      </c>
      <c r="E34" s="4">
        <v>114</v>
      </c>
      <c r="F34" s="6">
        <f>VLOOKUP(B34, Sheet2!$A$2:$B$83, 2, FALSE)</f>
        <v>106</v>
      </c>
      <c r="G34" s="6">
        <v>0</v>
      </c>
      <c r="H34" s="6">
        <v>0</v>
      </c>
      <c r="I34" s="6">
        <v>0</v>
      </c>
      <c r="J34" s="6">
        <v>0</v>
      </c>
      <c r="K34" s="6">
        <v>1</v>
      </c>
      <c r="L34" s="6">
        <v>0</v>
      </c>
    </row>
    <row r="35" spans="1:12" x14ac:dyDescent="0.25">
      <c r="A35" s="1">
        <v>33</v>
      </c>
      <c r="B35" s="6">
        <v>35</v>
      </c>
      <c r="C35" s="6">
        <v>0</v>
      </c>
      <c r="D35" s="2" t="s">
        <v>49</v>
      </c>
      <c r="E35" s="4">
        <v>113</v>
      </c>
      <c r="F35" s="6">
        <f>VLOOKUP(B35, Sheet2!$A$2:$B$83, 2, FALSE)</f>
        <v>106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</row>
    <row r="36" spans="1:12" x14ac:dyDescent="0.25">
      <c r="A36" s="1">
        <v>34</v>
      </c>
      <c r="B36" s="6">
        <v>36</v>
      </c>
      <c r="C36" s="6">
        <v>0</v>
      </c>
      <c r="D36" s="2" t="s">
        <v>50</v>
      </c>
      <c r="E36" s="4">
        <v>113</v>
      </c>
      <c r="F36" s="6">
        <f>VLOOKUP(B36, Sheet2!$A$2:$B$83, 2, FALSE)</f>
        <v>106</v>
      </c>
      <c r="G36" s="6">
        <v>0</v>
      </c>
      <c r="H36" s="6">
        <v>0</v>
      </c>
      <c r="I36" s="6">
        <v>0</v>
      </c>
      <c r="J36" s="6">
        <v>0</v>
      </c>
      <c r="K36" s="6">
        <v>1</v>
      </c>
      <c r="L36" s="6">
        <v>0</v>
      </c>
    </row>
    <row r="37" spans="1:12" x14ac:dyDescent="0.25">
      <c r="A37" s="1">
        <v>35</v>
      </c>
      <c r="B37" s="6">
        <v>37</v>
      </c>
      <c r="C37" s="6">
        <v>0</v>
      </c>
      <c r="D37" s="2" t="s">
        <v>51</v>
      </c>
      <c r="E37" s="4">
        <v>112</v>
      </c>
      <c r="F37" s="6">
        <f>VLOOKUP(B37, Sheet2!$A$2:$B$83, 2, FALSE)</f>
        <v>106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0</v>
      </c>
    </row>
    <row r="38" spans="1:12" x14ac:dyDescent="0.25">
      <c r="A38" s="1">
        <v>36</v>
      </c>
      <c r="B38" s="6">
        <v>40</v>
      </c>
      <c r="C38" s="6">
        <v>1</v>
      </c>
      <c r="D38" s="2" t="s">
        <v>58</v>
      </c>
      <c r="E38" s="4">
        <v>129</v>
      </c>
      <c r="F38" s="6">
        <f>VLOOKUP(B38, Sheet2!$A$2:$B$83, 2, FALSE)</f>
        <v>128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1</v>
      </c>
    </row>
    <row r="39" spans="1:12" x14ac:dyDescent="0.25">
      <c r="A39" s="1">
        <v>37</v>
      </c>
      <c r="B39" s="6">
        <v>41</v>
      </c>
      <c r="C39" s="6">
        <v>0</v>
      </c>
      <c r="D39" s="2" t="s">
        <v>56</v>
      </c>
      <c r="E39" s="4">
        <v>127</v>
      </c>
      <c r="F39" s="6">
        <f>VLOOKUP(B39, Sheet2!$A$2:$B$83, 2, FALSE)</f>
        <v>106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</row>
    <row r="40" spans="1:12" x14ac:dyDescent="0.25">
      <c r="A40" s="1">
        <v>38</v>
      </c>
      <c r="B40" s="6">
        <v>43</v>
      </c>
      <c r="C40" s="6">
        <v>0</v>
      </c>
      <c r="D40" s="2" t="s">
        <v>57</v>
      </c>
      <c r="E40" s="4">
        <v>128</v>
      </c>
      <c r="F40" s="6">
        <f>VLOOKUP(B40, Sheet2!$A$2:$B$83, 2, FALSE)</f>
        <v>60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5">
      <c r="A41" s="1">
        <v>39</v>
      </c>
      <c r="B41" s="6">
        <v>44</v>
      </c>
      <c r="C41" s="6">
        <v>0</v>
      </c>
      <c r="D41" s="2" t="s">
        <v>57</v>
      </c>
      <c r="E41" s="4">
        <v>128</v>
      </c>
      <c r="F41" s="6">
        <f>VLOOKUP(B41, Sheet2!$A$2:$B$83, 2, FALSE)</f>
        <v>20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5">
      <c r="A42" s="1">
        <v>40</v>
      </c>
      <c r="B42" s="6">
        <v>45</v>
      </c>
      <c r="C42" s="6">
        <v>0</v>
      </c>
      <c r="D42" s="2" t="s">
        <v>57</v>
      </c>
      <c r="E42" s="4">
        <v>127</v>
      </c>
      <c r="F42" s="6">
        <f>VLOOKUP(B42, Sheet2!$A$2:$B$83, 2, FALSE)</f>
        <v>9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5">
      <c r="A43" s="1">
        <v>41</v>
      </c>
      <c r="B43" s="6">
        <v>46</v>
      </c>
      <c r="C43" s="6">
        <v>0</v>
      </c>
      <c r="D43" s="2" t="s">
        <v>57</v>
      </c>
      <c r="E43" s="4">
        <v>127</v>
      </c>
      <c r="F43" s="6">
        <f>VLOOKUP(B43, Sheet2!$A$2:$B$83, 2, FALSE)</f>
        <v>6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x14ac:dyDescent="0.25">
      <c r="A44" s="1">
        <v>42</v>
      </c>
      <c r="B44" s="6">
        <v>47</v>
      </c>
      <c r="C44" s="6">
        <v>0</v>
      </c>
      <c r="D44" s="2" t="s">
        <v>67</v>
      </c>
      <c r="E44" s="4">
        <v>126</v>
      </c>
      <c r="F44" s="6">
        <f>VLOOKUP(B44, Sheet2!$A$2:$B$83, 2, FALSE)</f>
        <v>48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1</v>
      </c>
    </row>
    <row r="45" spans="1:12" x14ac:dyDescent="0.25">
      <c r="A45" s="1">
        <v>43</v>
      </c>
      <c r="B45" s="6">
        <v>48</v>
      </c>
      <c r="C45" s="6">
        <v>0</v>
      </c>
      <c r="D45" s="2" t="s">
        <v>68</v>
      </c>
      <c r="E45" s="4">
        <v>126</v>
      </c>
      <c r="F45" s="6">
        <f>VLOOKUP(B45, Sheet2!$A$2:$B$83, 2, FALSE)</f>
        <v>48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1</v>
      </c>
    </row>
    <row r="46" spans="1:12" x14ac:dyDescent="0.25">
      <c r="A46" s="1">
        <v>44</v>
      </c>
      <c r="B46" s="6">
        <v>49</v>
      </c>
      <c r="C46" s="6">
        <v>0</v>
      </c>
      <c r="D46" s="2" t="s">
        <v>59</v>
      </c>
      <c r="E46" s="4">
        <v>126</v>
      </c>
      <c r="F46" s="6">
        <f>VLOOKUP(B46, Sheet2!$A$2:$B$83, 2, FALSE)</f>
        <v>106</v>
      </c>
      <c r="G46" s="6">
        <v>0</v>
      </c>
      <c r="H46" s="6">
        <v>0</v>
      </c>
      <c r="I46" s="6">
        <v>0</v>
      </c>
      <c r="J46" s="6">
        <v>0</v>
      </c>
      <c r="K46" s="6">
        <v>1</v>
      </c>
      <c r="L46" s="6">
        <v>0</v>
      </c>
    </row>
    <row r="47" spans="1:12" x14ac:dyDescent="0.25">
      <c r="A47" s="1">
        <v>45</v>
      </c>
      <c r="B47" s="6">
        <v>50</v>
      </c>
      <c r="C47" s="6">
        <v>0</v>
      </c>
      <c r="D47" s="2" t="s">
        <v>60</v>
      </c>
      <c r="E47" s="4">
        <v>126</v>
      </c>
      <c r="F47" s="6">
        <f>VLOOKUP(B47, Sheet2!$A$2:$B$83, 2, FALSE)</f>
        <v>106</v>
      </c>
      <c r="G47" s="6">
        <v>0</v>
      </c>
      <c r="H47" s="6">
        <v>0</v>
      </c>
      <c r="I47" s="6">
        <v>0</v>
      </c>
      <c r="J47" s="6">
        <v>0</v>
      </c>
      <c r="K47" s="6">
        <v>1</v>
      </c>
      <c r="L47" s="6">
        <v>0</v>
      </c>
    </row>
    <row r="48" spans="1:12" x14ac:dyDescent="0.25">
      <c r="A48" s="1">
        <v>46</v>
      </c>
      <c r="B48" s="6">
        <v>51</v>
      </c>
      <c r="C48" s="6">
        <v>0</v>
      </c>
      <c r="D48" s="2" t="s">
        <v>61</v>
      </c>
      <c r="E48" s="4">
        <v>125</v>
      </c>
      <c r="F48" s="6">
        <f>VLOOKUP(B48, Sheet2!$A$2:$B$83, 2, FALSE)</f>
        <v>105</v>
      </c>
      <c r="G48" s="6">
        <v>0</v>
      </c>
      <c r="H48" s="6">
        <v>0</v>
      </c>
      <c r="I48" s="6">
        <v>0</v>
      </c>
      <c r="J48" s="6">
        <v>0</v>
      </c>
      <c r="K48" s="6">
        <v>1</v>
      </c>
      <c r="L48" s="6">
        <v>0</v>
      </c>
    </row>
    <row r="49" spans="1:12" x14ac:dyDescent="0.25">
      <c r="A49" s="1">
        <v>47</v>
      </c>
      <c r="B49" s="6">
        <v>52</v>
      </c>
      <c r="C49" s="6">
        <v>0</v>
      </c>
      <c r="D49" s="2" t="s">
        <v>62</v>
      </c>
      <c r="E49" s="4">
        <v>125</v>
      </c>
      <c r="F49" s="6">
        <f>VLOOKUP(B49, Sheet2!$A$2:$B$83, 2, FALSE)</f>
        <v>94</v>
      </c>
      <c r="G49" s="6">
        <v>0</v>
      </c>
      <c r="H49" s="6">
        <v>0</v>
      </c>
      <c r="I49" s="6">
        <v>0</v>
      </c>
      <c r="J49" s="6">
        <v>0</v>
      </c>
      <c r="K49" s="6">
        <v>1</v>
      </c>
      <c r="L49" s="6">
        <v>0</v>
      </c>
    </row>
    <row r="50" spans="1:12" x14ac:dyDescent="0.25">
      <c r="A50" s="1">
        <v>48</v>
      </c>
      <c r="B50" s="6">
        <v>53</v>
      </c>
      <c r="C50" s="6">
        <v>0</v>
      </c>
      <c r="D50" s="2" t="s">
        <v>63</v>
      </c>
      <c r="E50" s="4">
        <v>124</v>
      </c>
      <c r="F50" s="6">
        <f>VLOOKUP(B50, Sheet2!$A$2:$B$83, 2, FALSE)</f>
        <v>94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</row>
    <row r="51" spans="1:12" x14ac:dyDescent="0.25">
      <c r="A51" s="1">
        <v>49</v>
      </c>
      <c r="B51" s="6">
        <v>54</v>
      </c>
      <c r="C51" s="6">
        <v>0</v>
      </c>
      <c r="D51" s="2" t="s">
        <v>64</v>
      </c>
      <c r="E51" s="4">
        <v>124</v>
      </c>
      <c r="F51" s="6">
        <f>VLOOKUP(B51, Sheet2!$A$2:$B$83, 2, FALSE)</f>
        <v>106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</row>
    <row r="52" spans="1:12" x14ac:dyDescent="0.25">
      <c r="A52" s="1">
        <v>50</v>
      </c>
      <c r="B52" s="6">
        <v>55</v>
      </c>
      <c r="C52" s="6">
        <v>0</v>
      </c>
      <c r="D52" s="2" t="s">
        <v>65</v>
      </c>
      <c r="E52" s="4">
        <v>123</v>
      </c>
      <c r="F52" s="6">
        <f>VLOOKUP(B52, Sheet2!$A$2:$B$83, 2, FALSE)</f>
        <v>106</v>
      </c>
      <c r="G52" s="6">
        <v>0</v>
      </c>
      <c r="H52" s="6">
        <v>0</v>
      </c>
      <c r="I52" s="6">
        <v>0</v>
      </c>
      <c r="J52" s="6">
        <v>0</v>
      </c>
      <c r="K52" s="6">
        <v>1</v>
      </c>
      <c r="L52" s="6">
        <v>0</v>
      </c>
    </row>
    <row r="53" spans="1:12" x14ac:dyDescent="0.25">
      <c r="A53" s="1">
        <v>51</v>
      </c>
      <c r="B53" s="6">
        <v>56</v>
      </c>
      <c r="C53" s="6">
        <v>0</v>
      </c>
      <c r="D53" s="2" t="s">
        <v>66</v>
      </c>
      <c r="E53" s="4">
        <v>123</v>
      </c>
      <c r="F53" s="6">
        <f>VLOOKUP(B53, Sheet2!$A$2:$B$83, 2, FALSE)</f>
        <v>106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</row>
    <row r="54" spans="1:12" x14ac:dyDescent="0.25">
      <c r="A54" s="1">
        <v>52</v>
      </c>
      <c r="B54" s="6">
        <v>57</v>
      </c>
      <c r="C54" s="6">
        <v>0</v>
      </c>
      <c r="D54" s="2" t="s">
        <v>69</v>
      </c>
      <c r="E54" s="4">
        <v>122</v>
      </c>
      <c r="F54" s="6">
        <f>VLOOKUP(B54, Sheet2!$A$2:$B$83, 2, FALSE)</f>
        <v>106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</row>
    <row r="55" spans="1:12" x14ac:dyDescent="0.25">
      <c r="A55" s="1">
        <v>53</v>
      </c>
      <c r="B55" s="6">
        <v>100</v>
      </c>
      <c r="C55" s="6">
        <v>1</v>
      </c>
      <c r="D55" s="2" t="s">
        <v>72</v>
      </c>
      <c r="E55" s="4" t="s">
        <v>102</v>
      </c>
      <c r="F55" s="6">
        <f>VLOOKUP(B55, Sheet2!$A$2:$B$83, 2, FALSE)</f>
        <v>50</v>
      </c>
      <c r="G55" s="6">
        <v>0</v>
      </c>
      <c r="H55" s="6">
        <v>1</v>
      </c>
      <c r="I55" s="10">
        <v>1</v>
      </c>
      <c r="J55" s="10">
        <v>0</v>
      </c>
      <c r="K55" s="6">
        <v>0</v>
      </c>
      <c r="L55" s="6">
        <v>0</v>
      </c>
    </row>
    <row r="56" spans="1:12" x14ac:dyDescent="0.25">
      <c r="A56" s="1">
        <v>54</v>
      </c>
      <c r="B56" s="6">
        <v>101</v>
      </c>
      <c r="C56" s="6">
        <v>1</v>
      </c>
      <c r="D56" s="2" t="s">
        <v>71</v>
      </c>
      <c r="E56" s="4" t="s">
        <v>103</v>
      </c>
      <c r="F56" s="6">
        <f>VLOOKUP(B56, Sheet2!$A$2:$B$83, 2, FALSE)</f>
        <v>20</v>
      </c>
      <c r="G56" s="6">
        <v>0</v>
      </c>
      <c r="H56" s="6">
        <v>1</v>
      </c>
      <c r="I56" s="10">
        <v>0</v>
      </c>
      <c r="J56" s="10">
        <v>1</v>
      </c>
      <c r="K56" s="6">
        <v>0</v>
      </c>
      <c r="L56" s="6">
        <v>0</v>
      </c>
    </row>
    <row r="57" spans="1:12" x14ac:dyDescent="0.25">
      <c r="A57" s="1">
        <v>55</v>
      </c>
      <c r="B57" s="6">
        <v>102</v>
      </c>
      <c r="C57" s="6">
        <v>1</v>
      </c>
      <c r="D57" s="2" t="s">
        <v>6</v>
      </c>
      <c r="E57" s="4" t="s">
        <v>73</v>
      </c>
      <c r="F57" s="6">
        <f>VLOOKUP(B57, Sheet2!$A$2:$B$83, 2, FALSE)</f>
        <v>15</v>
      </c>
      <c r="G57" s="6">
        <v>0</v>
      </c>
      <c r="H57" s="6">
        <v>0</v>
      </c>
      <c r="I57" s="10">
        <v>0</v>
      </c>
      <c r="J57" s="10">
        <v>1</v>
      </c>
      <c r="K57" s="6">
        <v>0</v>
      </c>
      <c r="L57" s="6">
        <v>0</v>
      </c>
    </row>
    <row r="58" spans="1:12" x14ac:dyDescent="0.25">
      <c r="A58" s="1">
        <v>56</v>
      </c>
      <c r="B58" s="6">
        <v>103</v>
      </c>
      <c r="C58" s="6">
        <v>1</v>
      </c>
      <c r="D58" s="2" t="s">
        <v>7</v>
      </c>
      <c r="E58" s="4" t="s">
        <v>74</v>
      </c>
      <c r="F58" s="6">
        <f>VLOOKUP(B58, Sheet2!$A$2:$B$83, 2, FALSE)</f>
        <v>27</v>
      </c>
      <c r="G58" s="6">
        <v>0</v>
      </c>
      <c r="H58" s="6">
        <v>0</v>
      </c>
      <c r="I58" s="10">
        <v>0</v>
      </c>
      <c r="J58" s="10">
        <v>1</v>
      </c>
      <c r="K58" s="6">
        <v>0</v>
      </c>
      <c r="L58" s="6">
        <v>0</v>
      </c>
    </row>
    <row r="59" spans="1:12" x14ac:dyDescent="0.25">
      <c r="A59" s="1">
        <v>57</v>
      </c>
      <c r="B59" s="6">
        <v>104</v>
      </c>
      <c r="C59" s="6">
        <v>1</v>
      </c>
      <c r="D59" s="2" t="s">
        <v>8</v>
      </c>
      <c r="E59" s="4" t="s">
        <v>75</v>
      </c>
      <c r="F59" s="6">
        <f>VLOOKUP(B59, Sheet2!$A$2:$B$83, 2, FALSE)</f>
        <v>24</v>
      </c>
      <c r="G59" s="6">
        <v>0</v>
      </c>
      <c r="H59" s="6">
        <v>0</v>
      </c>
      <c r="I59" s="10">
        <v>0</v>
      </c>
      <c r="J59" s="10">
        <v>1</v>
      </c>
      <c r="K59" s="6">
        <v>0</v>
      </c>
      <c r="L59" s="6">
        <v>0</v>
      </c>
    </row>
    <row r="60" spans="1:12" x14ac:dyDescent="0.25">
      <c r="A60" s="1">
        <v>58</v>
      </c>
      <c r="B60" s="6">
        <v>105</v>
      </c>
      <c r="C60" s="6">
        <v>1</v>
      </c>
      <c r="D60" s="2" t="s">
        <v>9</v>
      </c>
      <c r="E60" s="4" t="s">
        <v>76</v>
      </c>
      <c r="F60" s="6">
        <f>VLOOKUP(B60, Sheet2!$A$2:$B$83, 2, FALSE)</f>
        <v>27</v>
      </c>
      <c r="G60" s="6">
        <v>0</v>
      </c>
      <c r="H60" s="6">
        <v>0</v>
      </c>
      <c r="I60" s="10">
        <v>0</v>
      </c>
      <c r="J60" s="10">
        <v>1</v>
      </c>
      <c r="K60" s="6">
        <v>0</v>
      </c>
      <c r="L60" s="6">
        <v>0</v>
      </c>
    </row>
    <row r="61" spans="1:12" x14ac:dyDescent="0.25">
      <c r="A61" s="1">
        <v>59</v>
      </c>
      <c r="B61" s="6">
        <v>106</v>
      </c>
      <c r="C61" s="6">
        <v>1</v>
      </c>
      <c r="D61" s="2" t="s">
        <v>10</v>
      </c>
      <c r="E61" s="4" t="s">
        <v>77</v>
      </c>
      <c r="F61" s="6">
        <f>VLOOKUP(B61, Sheet2!$A$2:$B$83, 2, FALSE)</f>
        <v>36</v>
      </c>
      <c r="G61" s="6">
        <v>0</v>
      </c>
      <c r="H61" s="6">
        <v>0</v>
      </c>
      <c r="I61" s="10">
        <v>0</v>
      </c>
      <c r="J61" s="10">
        <v>1</v>
      </c>
      <c r="K61" s="6">
        <v>0</v>
      </c>
      <c r="L61" s="6">
        <v>0</v>
      </c>
    </row>
    <row r="62" spans="1:12" x14ac:dyDescent="0.25">
      <c r="A62" s="1">
        <v>60</v>
      </c>
      <c r="B62" s="6">
        <v>107</v>
      </c>
      <c r="C62" s="6">
        <v>1</v>
      </c>
      <c r="D62" s="2" t="s">
        <v>11</v>
      </c>
      <c r="E62" s="4" t="s">
        <v>80</v>
      </c>
      <c r="F62" s="6">
        <f>VLOOKUP(B62, Sheet2!$A$2:$B$83, 2, FALSE)</f>
        <v>35</v>
      </c>
      <c r="G62" s="6">
        <v>0</v>
      </c>
      <c r="H62" s="6">
        <v>0</v>
      </c>
      <c r="I62" s="10">
        <v>0</v>
      </c>
      <c r="J62" s="10">
        <v>1</v>
      </c>
      <c r="K62" s="6">
        <v>0</v>
      </c>
      <c r="L62" s="6">
        <v>0</v>
      </c>
    </row>
    <row r="63" spans="1:12" x14ac:dyDescent="0.25">
      <c r="A63" s="1">
        <v>61</v>
      </c>
      <c r="B63" s="6">
        <v>108</v>
      </c>
      <c r="C63" s="6">
        <v>1</v>
      </c>
      <c r="D63" s="2" t="s">
        <v>12</v>
      </c>
      <c r="E63" s="4" t="s">
        <v>78</v>
      </c>
      <c r="F63" s="6">
        <f>VLOOKUP(B63, Sheet2!$A$2:$B$83, 2, FALSE)</f>
        <v>30</v>
      </c>
      <c r="G63" s="6">
        <v>0</v>
      </c>
      <c r="H63" s="6">
        <v>0</v>
      </c>
      <c r="I63" s="10">
        <v>0</v>
      </c>
      <c r="J63" s="10">
        <v>1</v>
      </c>
      <c r="K63" s="6">
        <v>0</v>
      </c>
      <c r="L63" s="6">
        <v>0</v>
      </c>
    </row>
    <row r="64" spans="1:12" x14ac:dyDescent="0.25">
      <c r="A64" s="1">
        <v>62</v>
      </c>
      <c r="B64" s="6">
        <v>109</v>
      </c>
      <c r="C64" s="6">
        <v>1</v>
      </c>
      <c r="D64" s="2" t="s">
        <v>70</v>
      </c>
      <c r="E64" s="4" t="s">
        <v>79</v>
      </c>
      <c r="F64" s="6">
        <f>VLOOKUP(B64, Sheet2!$A$2:$B$83, 2, FALSE)</f>
        <v>24</v>
      </c>
      <c r="G64" s="6">
        <v>0</v>
      </c>
      <c r="H64" s="6">
        <v>1</v>
      </c>
      <c r="I64" s="10">
        <v>0</v>
      </c>
      <c r="J64" s="10">
        <v>1</v>
      </c>
      <c r="K64" s="6">
        <v>0</v>
      </c>
      <c r="L64" s="6">
        <v>0</v>
      </c>
    </row>
    <row r="65" spans="1:12" x14ac:dyDescent="0.25">
      <c r="A65" s="1">
        <v>63</v>
      </c>
      <c r="B65" s="6">
        <v>110</v>
      </c>
      <c r="C65" s="6">
        <v>1</v>
      </c>
      <c r="D65" s="2" t="s">
        <v>5</v>
      </c>
      <c r="E65" s="4" t="s">
        <v>82</v>
      </c>
      <c r="F65" s="6">
        <f>VLOOKUP(B65, Sheet2!$A$2:$B$83, 2, FALSE)</f>
        <v>66</v>
      </c>
      <c r="G65" s="6">
        <v>0</v>
      </c>
      <c r="H65" s="6">
        <v>1</v>
      </c>
      <c r="I65" s="10">
        <v>1</v>
      </c>
      <c r="J65" s="10">
        <v>0</v>
      </c>
      <c r="K65" s="6">
        <v>0</v>
      </c>
      <c r="L65" s="6">
        <v>0</v>
      </c>
    </row>
    <row r="66" spans="1:12" x14ac:dyDescent="0.25">
      <c r="A66" s="1">
        <v>64</v>
      </c>
      <c r="B66" s="6">
        <v>111</v>
      </c>
      <c r="C66" s="6">
        <v>1</v>
      </c>
      <c r="D66" s="2" t="s">
        <v>13</v>
      </c>
      <c r="E66" s="4" t="s">
        <v>81</v>
      </c>
      <c r="F66" s="6">
        <f>VLOOKUP(B66, Sheet2!$A$2:$B$83, 2, FALSE)</f>
        <v>20</v>
      </c>
      <c r="G66" s="6">
        <v>0</v>
      </c>
      <c r="H66" s="6">
        <v>0</v>
      </c>
      <c r="I66" s="10">
        <v>0</v>
      </c>
      <c r="J66" s="10">
        <v>1</v>
      </c>
      <c r="K66" s="6">
        <v>0</v>
      </c>
      <c r="L66" s="6">
        <v>0</v>
      </c>
    </row>
    <row r="67" spans="1:12" x14ac:dyDescent="0.25">
      <c r="A67" s="1">
        <v>65</v>
      </c>
      <c r="B67" s="6">
        <v>112</v>
      </c>
      <c r="C67" s="6">
        <v>1</v>
      </c>
      <c r="D67" s="2" t="s">
        <v>14</v>
      </c>
      <c r="E67" s="4" t="s">
        <v>83</v>
      </c>
      <c r="F67" s="6">
        <f>VLOOKUP(B67, Sheet2!$A$2:$B$83, 2, FALSE)</f>
        <v>17</v>
      </c>
      <c r="G67" s="6">
        <v>0</v>
      </c>
      <c r="H67" s="6">
        <v>0</v>
      </c>
      <c r="I67" s="10">
        <v>0</v>
      </c>
      <c r="J67" s="10">
        <v>1</v>
      </c>
      <c r="K67" s="6">
        <v>0</v>
      </c>
      <c r="L67" s="6">
        <v>0</v>
      </c>
    </row>
    <row r="68" spans="1:12" x14ac:dyDescent="0.25">
      <c r="A68" s="1">
        <v>66</v>
      </c>
      <c r="B68" s="6">
        <v>113</v>
      </c>
      <c r="C68" s="6">
        <v>1</v>
      </c>
      <c r="D68" s="2" t="s">
        <v>15</v>
      </c>
      <c r="E68" s="4" t="s">
        <v>84</v>
      </c>
      <c r="F68" s="6">
        <f>VLOOKUP(B68, Sheet2!$A$2:$B$83, 2, FALSE)</f>
        <v>31</v>
      </c>
      <c r="G68" s="6">
        <v>0</v>
      </c>
      <c r="H68" s="6">
        <v>0</v>
      </c>
      <c r="I68" s="10">
        <v>0</v>
      </c>
      <c r="J68" s="10">
        <v>1</v>
      </c>
      <c r="K68" s="6">
        <v>0</v>
      </c>
      <c r="L68" s="6">
        <v>0</v>
      </c>
    </row>
    <row r="69" spans="1:12" x14ac:dyDescent="0.25">
      <c r="A69" s="1">
        <v>67</v>
      </c>
      <c r="B69" s="6">
        <v>114</v>
      </c>
      <c r="C69" s="6">
        <v>1</v>
      </c>
      <c r="D69" s="2" t="s">
        <v>16</v>
      </c>
      <c r="E69" s="4" t="s">
        <v>85</v>
      </c>
      <c r="F69" s="6">
        <f>VLOOKUP(B69, Sheet2!$A$2:$B$83, 2, FALSE)</f>
        <v>28</v>
      </c>
      <c r="G69" s="6">
        <v>0</v>
      </c>
      <c r="H69" s="6">
        <v>0</v>
      </c>
      <c r="I69" s="10">
        <v>0</v>
      </c>
      <c r="J69" s="10">
        <v>1</v>
      </c>
      <c r="K69" s="6">
        <v>0</v>
      </c>
      <c r="L69" s="6">
        <v>0</v>
      </c>
    </row>
    <row r="70" spans="1:12" x14ac:dyDescent="0.25">
      <c r="A70" s="1">
        <v>68</v>
      </c>
      <c r="B70" s="6">
        <v>115</v>
      </c>
      <c r="C70" s="6">
        <v>1</v>
      </c>
      <c r="D70" s="2" t="s">
        <v>17</v>
      </c>
      <c r="E70" s="4" t="s">
        <v>86</v>
      </c>
      <c r="F70" s="6">
        <f>VLOOKUP(B70, Sheet2!$A$2:$B$83, 2, FALSE)</f>
        <v>32</v>
      </c>
      <c r="G70" s="6">
        <v>0</v>
      </c>
      <c r="H70" s="6">
        <v>0</v>
      </c>
      <c r="I70" s="10">
        <v>0</v>
      </c>
      <c r="J70" s="10">
        <v>1</v>
      </c>
      <c r="K70" s="6">
        <v>0</v>
      </c>
      <c r="L70" s="6">
        <v>0</v>
      </c>
    </row>
    <row r="71" spans="1:12" x14ac:dyDescent="0.25">
      <c r="A71" s="1">
        <v>69</v>
      </c>
      <c r="B71" s="6">
        <v>116</v>
      </c>
      <c r="C71" s="6">
        <v>1</v>
      </c>
      <c r="D71" s="2" t="s">
        <v>18</v>
      </c>
      <c r="E71" s="4" t="s">
        <v>87</v>
      </c>
      <c r="F71" s="6">
        <f>VLOOKUP(B71, Sheet2!$A$2:$B$83, 2, FALSE)</f>
        <v>40</v>
      </c>
      <c r="G71" s="6">
        <v>0</v>
      </c>
      <c r="H71" s="6">
        <v>0</v>
      </c>
      <c r="I71" s="10">
        <v>0</v>
      </c>
      <c r="J71" s="10">
        <v>1</v>
      </c>
      <c r="K71" s="6">
        <v>0</v>
      </c>
      <c r="L71" s="6">
        <v>0</v>
      </c>
    </row>
    <row r="72" spans="1:12" x14ac:dyDescent="0.25">
      <c r="A72" s="1">
        <v>70</v>
      </c>
      <c r="B72" s="6">
        <v>117</v>
      </c>
      <c r="C72" s="6">
        <v>1</v>
      </c>
      <c r="D72" s="2" t="s">
        <v>19</v>
      </c>
      <c r="E72" s="4" t="s">
        <v>88</v>
      </c>
      <c r="F72" s="6">
        <f>VLOOKUP(B72, Sheet2!$A$2:$B$83, 2, FALSE)</f>
        <v>37</v>
      </c>
      <c r="G72" s="6">
        <v>0</v>
      </c>
      <c r="H72" s="6">
        <v>0</v>
      </c>
      <c r="I72" s="10">
        <v>0</v>
      </c>
      <c r="J72" s="10">
        <v>1</v>
      </c>
      <c r="K72" s="6">
        <v>0</v>
      </c>
      <c r="L72" s="6">
        <v>0</v>
      </c>
    </row>
    <row r="73" spans="1:12" x14ac:dyDescent="0.25">
      <c r="A73" s="1">
        <v>71</v>
      </c>
      <c r="B73" s="6">
        <v>118</v>
      </c>
      <c r="C73" s="6">
        <v>1</v>
      </c>
      <c r="D73" s="2" t="s">
        <v>20</v>
      </c>
      <c r="E73" s="4" t="s">
        <v>89</v>
      </c>
      <c r="F73" s="6">
        <f>VLOOKUP(B73, Sheet2!$A$2:$B$83, 2, FALSE)</f>
        <v>30</v>
      </c>
      <c r="G73" s="6">
        <v>0</v>
      </c>
      <c r="H73" s="6">
        <v>0</v>
      </c>
      <c r="I73" s="10">
        <v>0</v>
      </c>
      <c r="J73" s="10">
        <v>1</v>
      </c>
      <c r="K73" s="6">
        <v>0</v>
      </c>
      <c r="L73" s="6">
        <v>0</v>
      </c>
    </row>
    <row r="74" spans="1:12" x14ac:dyDescent="0.25">
      <c r="A74" s="1">
        <v>72</v>
      </c>
      <c r="B74" s="6">
        <v>119</v>
      </c>
      <c r="C74" s="6">
        <v>1</v>
      </c>
      <c r="D74" s="2" t="s">
        <v>21</v>
      </c>
      <c r="E74" s="4" t="s">
        <v>90</v>
      </c>
      <c r="F74" s="6">
        <f>VLOOKUP(B74, Sheet2!$A$2:$B$83, 2, FALSE)</f>
        <v>24</v>
      </c>
      <c r="G74" s="6">
        <v>0</v>
      </c>
      <c r="H74" s="6">
        <v>0</v>
      </c>
      <c r="I74" s="10">
        <v>0</v>
      </c>
      <c r="J74" s="10">
        <v>1</v>
      </c>
      <c r="K74" s="6">
        <v>0</v>
      </c>
      <c r="L74" s="6">
        <v>0</v>
      </c>
    </row>
    <row r="75" spans="1:12" x14ac:dyDescent="0.25">
      <c r="A75" s="1">
        <v>73</v>
      </c>
      <c r="B75" s="6">
        <v>121</v>
      </c>
      <c r="C75" s="6">
        <v>1</v>
      </c>
      <c r="D75" s="2" t="s">
        <v>22</v>
      </c>
      <c r="E75" s="4" t="s">
        <v>91</v>
      </c>
      <c r="F75" s="6">
        <f>VLOOKUP(B75, Sheet2!$A$2:$B$83, 2, FALSE)</f>
        <v>20</v>
      </c>
      <c r="G75" s="6">
        <v>0</v>
      </c>
      <c r="H75" s="6">
        <v>0</v>
      </c>
      <c r="I75" s="10">
        <v>0</v>
      </c>
      <c r="J75" s="10">
        <v>1</v>
      </c>
      <c r="K75" s="6">
        <v>0</v>
      </c>
      <c r="L75" s="6">
        <v>0</v>
      </c>
    </row>
    <row r="76" spans="1:12" x14ac:dyDescent="0.25">
      <c r="A76" s="1">
        <v>74</v>
      </c>
      <c r="B76" s="6">
        <v>122</v>
      </c>
      <c r="C76" s="6">
        <v>1</v>
      </c>
      <c r="D76" s="2" t="s">
        <v>23</v>
      </c>
      <c r="E76" s="4" t="s">
        <v>92</v>
      </c>
      <c r="F76" s="6">
        <f>VLOOKUP(B76, Sheet2!$A$2:$B$83, 2, FALSE)</f>
        <v>17</v>
      </c>
      <c r="G76" s="6">
        <v>0</v>
      </c>
      <c r="H76" s="6">
        <v>0</v>
      </c>
      <c r="I76" s="10">
        <v>0</v>
      </c>
      <c r="J76" s="10">
        <v>1</v>
      </c>
      <c r="K76" s="6">
        <v>0</v>
      </c>
      <c r="L76" s="6">
        <v>0</v>
      </c>
    </row>
    <row r="77" spans="1:12" x14ac:dyDescent="0.25">
      <c r="A77" s="1">
        <v>75</v>
      </c>
      <c r="B77" s="6">
        <v>123</v>
      </c>
      <c r="C77" s="6">
        <v>1</v>
      </c>
      <c r="D77" s="2" t="s">
        <v>24</v>
      </c>
      <c r="E77" s="4" t="s">
        <v>93</v>
      </c>
      <c r="F77" s="6">
        <f>VLOOKUP(B77, Sheet2!$A$2:$B$83, 2, FALSE)</f>
        <v>31</v>
      </c>
      <c r="G77" s="6">
        <v>0</v>
      </c>
      <c r="H77" s="6">
        <v>0</v>
      </c>
      <c r="I77" s="10">
        <v>0</v>
      </c>
      <c r="J77" s="10">
        <v>1</v>
      </c>
      <c r="K77" s="6">
        <v>0</v>
      </c>
      <c r="L77" s="6">
        <v>0</v>
      </c>
    </row>
    <row r="78" spans="1:12" x14ac:dyDescent="0.25">
      <c r="A78" s="1">
        <v>76</v>
      </c>
      <c r="B78" s="6">
        <v>124</v>
      </c>
      <c r="C78" s="6">
        <v>1</v>
      </c>
      <c r="D78" s="2" t="s">
        <v>25</v>
      </c>
      <c r="E78" s="4" t="s">
        <v>94</v>
      </c>
      <c r="F78" s="6">
        <f>VLOOKUP(B78, Sheet2!$A$2:$B$83, 2, FALSE)</f>
        <v>28</v>
      </c>
      <c r="G78" s="6">
        <v>0</v>
      </c>
      <c r="H78" s="6">
        <v>0</v>
      </c>
      <c r="I78" s="10">
        <v>0</v>
      </c>
      <c r="J78" s="10">
        <v>1</v>
      </c>
      <c r="K78" s="6">
        <v>0</v>
      </c>
      <c r="L78" s="6">
        <v>0</v>
      </c>
    </row>
    <row r="79" spans="1:12" x14ac:dyDescent="0.25">
      <c r="A79" s="1">
        <v>77</v>
      </c>
      <c r="B79" s="6">
        <v>125</v>
      </c>
      <c r="C79" s="6">
        <v>1</v>
      </c>
      <c r="D79" s="2" t="s">
        <v>26</v>
      </c>
      <c r="E79" s="4" t="s">
        <v>95</v>
      </c>
      <c r="F79" s="6">
        <f>VLOOKUP(B79, Sheet2!$A$2:$B$83, 2, FALSE)</f>
        <v>32</v>
      </c>
      <c r="G79" s="6">
        <v>0</v>
      </c>
      <c r="H79" s="6">
        <v>0</v>
      </c>
      <c r="I79" s="10">
        <v>0</v>
      </c>
      <c r="J79" s="10">
        <v>1</v>
      </c>
      <c r="K79" s="6">
        <v>0</v>
      </c>
      <c r="L79" s="6">
        <v>0</v>
      </c>
    </row>
    <row r="80" spans="1:12" x14ac:dyDescent="0.25">
      <c r="A80" s="1">
        <v>78</v>
      </c>
      <c r="B80" s="6">
        <v>126</v>
      </c>
      <c r="C80" s="6">
        <v>1</v>
      </c>
      <c r="D80" s="2" t="s">
        <v>27</v>
      </c>
      <c r="E80" s="4" t="s">
        <v>96</v>
      </c>
      <c r="F80" s="6">
        <f>VLOOKUP(B80, Sheet2!$A$2:$B$83, 2, FALSE)</f>
        <v>40</v>
      </c>
      <c r="G80" s="6">
        <v>0</v>
      </c>
      <c r="H80" s="6">
        <v>0</v>
      </c>
      <c r="I80" s="10">
        <v>0</v>
      </c>
      <c r="J80" s="10">
        <v>1</v>
      </c>
      <c r="K80" s="6">
        <v>0</v>
      </c>
      <c r="L80" s="6">
        <v>0</v>
      </c>
    </row>
    <row r="81" spans="1:12" x14ac:dyDescent="0.25">
      <c r="A81" s="1">
        <v>79</v>
      </c>
      <c r="B81" s="6">
        <v>127</v>
      </c>
      <c r="C81" s="6">
        <v>1</v>
      </c>
      <c r="D81" s="2" t="s">
        <v>28</v>
      </c>
      <c r="E81" s="4" t="s">
        <v>97</v>
      </c>
      <c r="F81" s="6">
        <f>VLOOKUP(B81, Sheet2!$A$2:$B$83, 2, FALSE)</f>
        <v>37</v>
      </c>
      <c r="G81" s="6">
        <v>0</v>
      </c>
      <c r="H81" s="6">
        <v>0</v>
      </c>
      <c r="I81" s="10">
        <v>0</v>
      </c>
      <c r="J81" s="10">
        <v>1</v>
      </c>
      <c r="K81" s="6">
        <v>0</v>
      </c>
      <c r="L81" s="6">
        <v>0</v>
      </c>
    </row>
    <row r="82" spans="1:12" x14ac:dyDescent="0.25">
      <c r="A82" s="1">
        <v>80</v>
      </c>
      <c r="B82" s="6">
        <v>128</v>
      </c>
      <c r="C82" s="6">
        <v>1</v>
      </c>
      <c r="D82" s="2" t="s">
        <v>29</v>
      </c>
      <c r="E82" s="4" t="s">
        <v>98</v>
      </c>
      <c r="F82" s="6">
        <f>VLOOKUP(B82, Sheet2!$A$2:$B$83, 2, FALSE)</f>
        <v>30</v>
      </c>
      <c r="G82" s="8">
        <v>0</v>
      </c>
      <c r="H82" s="6">
        <v>0</v>
      </c>
      <c r="I82" s="10">
        <v>0</v>
      </c>
      <c r="J82" s="10">
        <v>1</v>
      </c>
      <c r="K82" s="6">
        <v>0</v>
      </c>
      <c r="L82" s="6">
        <v>0</v>
      </c>
    </row>
    <row r="83" spans="1:12" x14ac:dyDescent="0.25">
      <c r="A83" s="1">
        <v>81</v>
      </c>
      <c r="B83" s="6">
        <v>129</v>
      </c>
      <c r="C83" s="6">
        <v>1</v>
      </c>
      <c r="D83" s="2" t="s">
        <v>30</v>
      </c>
      <c r="E83" s="4" t="s">
        <v>99</v>
      </c>
      <c r="F83" s="6">
        <f>VLOOKUP(B83, Sheet2!$A$2:$B$83, 2, FALSE)</f>
        <v>24</v>
      </c>
      <c r="G83" s="6">
        <v>0</v>
      </c>
      <c r="H83" s="6">
        <v>0</v>
      </c>
      <c r="I83" s="10">
        <v>0</v>
      </c>
      <c r="J83" s="10">
        <v>1</v>
      </c>
      <c r="K83" s="6">
        <v>0</v>
      </c>
      <c r="L83" s="6">
        <v>0</v>
      </c>
    </row>
  </sheetData>
  <autoFilter ref="C1:C83" xr:uid="{00000000-0001-0000-0000-000000000000}"/>
  <phoneticPr fontId="2" type="noConversion"/>
  <conditionalFormatting sqref="C1:C1048576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DE63-13F0-479D-B889-98224797EAB4}">
  <dimension ref="A1:B83"/>
  <sheetViews>
    <sheetView workbookViewId="0">
      <pane ySplit="1" topLeftCell="A2" activePane="bottomLeft" state="frozen"/>
      <selection pane="bottomLeft" activeCell="E78" sqref="E78"/>
    </sheetView>
  </sheetViews>
  <sheetFormatPr defaultRowHeight="15" x14ac:dyDescent="0.25"/>
  <sheetData>
    <row r="1" spans="1:2" x14ac:dyDescent="0.25">
      <c r="A1" t="s">
        <v>0</v>
      </c>
      <c r="B1" t="s">
        <v>106</v>
      </c>
    </row>
    <row r="2" spans="1:2" x14ac:dyDescent="0.25">
      <c r="A2">
        <v>0</v>
      </c>
      <c r="B2">
        <v>436</v>
      </c>
    </row>
    <row r="3" spans="1:2" x14ac:dyDescent="0.25">
      <c r="A3">
        <v>1</v>
      </c>
      <c r="B3">
        <v>128</v>
      </c>
    </row>
    <row r="4" spans="1:2" x14ac:dyDescent="0.25">
      <c r="A4">
        <v>2</v>
      </c>
      <c r="B4">
        <v>108</v>
      </c>
    </row>
    <row r="5" spans="1:2" x14ac:dyDescent="0.25">
      <c r="A5">
        <v>3</v>
      </c>
      <c r="B5">
        <v>351</v>
      </c>
    </row>
    <row r="6" spans="1:2" x14ac:dyDescent="0.25">
      <c r="A6">
        <v>4</v>
      </c>
      <c r="B6">
        <v>60</v>
      </c>
    </row>
    <row r="7" spans="1:2" x14ac:dyDescent="0.25">
      <c r="A7">
        <v>5</v>
      </c>
      <c r="B7">
        <v>20</v>
      </c>
    </row>
    <row r="8" spans="1:2" x14ac:dyDescent="0.25">
      <c r="A8">
        <v>6</v>
      </c>
      <c r="B8">
        <v>9</v>
      </c>
    </row>
    <row r="9" spans="1:2" x14ac:dyDescent="0.25">
      <c r="A9">
        <v>7</v>
      </c>
      <c r="B9">
        <v>6</v>
      </c>
    </row>
    <row r="10" spans="1:2" x14ac:dyDescent="0.25">
      <c r="A10">
        <v>8</v>
      </c>
      <c r="B10">
        <v>48</v>
      </c>
    </row>
    <row r="11" spans="1:2" x14ac:dyDescent="0.25">
      <c r="A11">
        <v>9</v>
      </c>
      <c r="B11">
        <v>48</v>
      </c>
    </row>
    <row r="12" spans="1:2" x14ac:dyDescent="0.25">
      <c r="A12">
        <v>10</v>
      </c>
      <c r="B12">
        <v>108</v>
      </c>
    </row>
    <row r="13" spans="1:2" x14ac:dyDescent="0.25">
      <c r="A13">
        <v>11</v>
      </c>
      <c r="B13">
        <v>108</v>
      </c>
    </row>
    <row r="14" spans="1:2" x14ac:dyDescent="0.25">
      <c r="A14">
        <v>12</v>
      </c>
      <c r="B14">
        <v>108</v>
      </c>
    </row>
    <row r="15" spans="1:2" x14ac:dyDescent="0.25">
      <c r="A15">
        <v>13</v>
      </c>
      <c r="B15">
        <v>96</v>
      </c>
    </row>
    <row r="16" spans="1:2" x14ac:dyDescent="0.25">
      <c r="A16">
        <v>14</v>
      </c>
      <c r="B16">
        <v>96</v>
      </c>
    </row>
    <row r="17" spans="1:2" x14ac:dyDescent="0.25">
      <c r="A17">
        <v>15</v>
      </c>
      <c r="B17">
        <v>108</v>
      </c>
    </row>
    <row r="18" spans="1:2" x14ac:dyDescent="0.25">
      <c r="A18">
        <v>16</v>
      </c>
      <c r="B18">
        <v>108</v>
      </c>
    </row>
    <row r="19" spans="1:2" x14ac:dyDescent="0.25">
      <c r="A19">
        <v>17</v>
      </c>
      <c r="B19">
        <v>108</v>
      </c>
    </row>
    <row r="20" spans="1:2" x14ac:dyDescent="0.25">
      <c r="A20">
        <v>18</v>
      </c>
      <c r="B20">
        <v>108</v>
      </c>
    </row>
    <row r="21" spans="1:2" x14ac:dyDescent="0.25">
      <c r="A21">
        <v>20</v>
      </c>
      <c r="B21">
        <v>128</v>
      </c>
    </row>
    <row r="22" spans="1:2" x14ac:dyDescent="0.25">
      <c r="A22">
        <v>21</v>
      </c>
      <c r="B22">
        <v>106</v>
      </c>
    </row>
    <row r="23" spans="1:2" x14ac:dyDescent="0.25">
      <c r="A23">
        <v>23</v>
      </c>
      <c r="B23">
        <v>60</v>
      </c>
    </row>
    <row r="24" spans="1:2" x14ac:dyDescent="0.25">
      <c r="A24">
        <v>24</v>
      </c>
      <c r="B24">
        <v>20</v>
      </c>
    </row>
    <row r="25" spans="1:2" x14ac:dyDescent="0.25">
      <c r="A25">
        <v>25</v>
      </c>
      <c r="B25">
        <v>9</v>
      </c>
    </row>
    <row r="26" spans="1:2" x14ac:dyDescent="0.25">
      <c r="A26">
        <v>26</v>
      </c>
      <c r="B26">
        <v>6</v>
      </c>
    </row>
    <row r="27" spans="1:2" x14ac:dyDescent="0.25">
      <c r="A27">
        <v>27</v>
      </c>
      <c r="B27">
        <v>48</v>
      </c>
    </row>
    <row r="28" spans="1:2" x14ac:dyDescent="0.25">
      <c r="A28">
        <v>28</v>
      </c>
      <c r="B28">
        <v>48</v>
      </c>
    </row>
    <row r="29" spans="1:2" x14ac:dyDescent="0.25">
      <c r="A29">
        <v>29</v>
      </c>
      <c r="B29">
        <v>106</v>
      </c>
    </row>
    <row r="30" spans="1:2" x14ac:dyDescent="0.25">
      <c r="A30">
        <v>30</v>
      </c>
      <c r="B30">
        <v>106</v>
      </c>
    </row>
    <row r="31" spans="1:2" x14ac:dyDescent="0.25">
      <c r="A31">
        <v>31</v>
      </c>
      <c r="B31">
        <v>105</v>
      </c>
    </row>
    <row r="32" spans="1:2" x14ac:dyDescent="0.25">
      <c r="A32">
        <v>32</v>
      </c>
      <c r="B32">
        <v>94</v>
      </c>
    </row>
    <row r="33" spans="1:2" x14ac:dyDescent="0.25">
      <c r="A33">
        <v>33</v>
      </c>
      <c r="B33">
        <v>94</v>
      </c>
    </row>
    <row r="34" spans="1:2" x14ac:dyDescent="0.25">
      <c r="A34">
        <v>34</v>
      </c>
      <c r="B34">
        <v>106</v>
      </c>
    </row>
    <row r="35" spans="1:2" x14ac:dyDescent="0.25">
      <c r="A35">
        <v>35</v>
      </c>
      <c r="B35">
        <v>106</v>
      </c>
    </row>
    <row r="36" spans="1:2" x14ac:dyDescent="0.25">
      <c r="A36">
        <v>36</v>
      </c>
      <c r="B36">
        <v>106</v>
      </c>
    </row>
    <row r="37" spans="1:2" x14ac:dyDescent="0.25">
      <c r="A37">
        <v>37</v>
      </c>
      <c r="B37">
        <v>106</v>
      </c>
    </row>
    <row r="38" spans="1:2" x14ac:dyDescent="0.25">
      <c r="A38">
        <v>40</v>
      </c>
      <c r="B38">
        <v>128</v>
      </c>
    </row>
    <row r="39" spans="1:2" x14ac:dyDescent="0.25">
      <c r="A39">
        <v>41</v>
      </c>
      <c r="B39">
        <v>106</v>
      </c>
    </row>
    <row r="40" spans="1:2" x14ac:dyDescent="0.25">
      <c r="A40">
        <v>43</v>
      </c>
      <c r="B40">
        <v>60</v>
      </c>
    </row>
    <row r="41" spans="1:2" x14ac:dyDescent="0.25">
      <c r="A41">
        <v>44</v>
      </c>
      <c r="B41">
        <v>20</v>
      </c>
    </row>
    <row r="42" spans="1:2" x14ac:dyDescent="0.25">
      <c r="A42">
        <v>45</v>
      </c>
      <c r="B42">
        <v>9</v>
      </c>
    </row>
    <row r="43" spans="1:2" x14ac:dyDescent="0.25">
      <c r="A43">
        <v>46</v>
      </c>
      <c r="B43">
        <v>6</v>
      </c>
    </row>
    <row r="44" spans="1:2" x14ac:dyDescent="0.25">
      <c r="A44">
        <v>47</v>
      </c>
      <c r="B44">
        <v>48</v>
      </c>
    </row>
    <row r="45" spans="1:2" x14ac:dyDescent="0.25">
      <c r="A45">
        <v>48</v>
      </c>
      <c r="B45">
        <v>48</v>
      </c>
    </row>
    <row r="46" spans="1:2" x14ac:dyDescent="0.25">
      <c r="A46">
        <v>49</v>
      </c>
      <c r="B46">
        <v>106</v>
      </c>
    </row>
    <row r="47" spans="1:2" x14ac:dyDescent="0.25">
      <c r="A47">
        <v>50</v>
      </c>
      <c r="B47">
        <v>106</v>
      </c>
    </row>
    <row r="48" spans="1:2" x14ac:dyDescent="0.25">
      <c r="A48">
        <v>51</v>
      </c>
      <c r="B48">
        <v>105</v>
      </c>
    </row>
    <row r="49" spans="1:2" x14ac:dyDescent="0.25">
      <c r="A49">
        <v>52</v>
      </c>
      <c r="B49">
        <v>94</v>
      </c>
    </row>
    <row r="50" spans="1:2" x14ac:dyDescent="0.25">
      <c r="A50">
        <v>53</v>
      </c>
      <c r="B50">
        <v>94</v>
      </c>
    </row>
    <row r="51" spans="1:2" x14ac:dyDescent="0.25">
      <c r="A51">
        <v>54</v>
      </c>
      <c r="B51">
        <v>106</v>
      </c>
    </row>
    <row r="52" spans="1:2" x14ac:dyDescent="0.25">
      <c r="A52">
        <v>55</v>
      </c>
      <c r="B52">
        <v>106</v>
      </c>
    </row>
    <row r="53" spans="1:2" x14ac:dyDescent="0.25">
      <c r="A53">
        <v>56</v>
      </c>
      <c r="B53">
        <v>106</v>
      </c>
    </row>
    <row r="54" spans="1:2" x14ac:dyDescent="0.25">
      <c r="A54">
        <v>57</v>
      </c>
      <c r="B54">
        <v>106</v>
      </c>
    </row>
    <row r="55" spans="1:2" x14ac:dyDescent="0.25">
      <c r="A55">
        <v>100</v>
      </c>
      <c r="B55">
        <v>50</v>
      </c>
    </row>
    <row r="56" spans="1:2" x14ac:dyDescent="0.25">
      <c r="A56">
        <v>101</v>
      </c>
      <c r="B56">
        <v>20</v>
      </c>
    </row>
    <row r="57" spans="1:2" x14ac:dyDescent="0.25">
      <c r="A57">
        <v>102</v>
      </c>
      <c r="B57">
        <v>15</v>
      </c>
    </row>
    <row r="58" spans="1:2" x14ac:dyDescent="0.25">
      <c r="A58">
        <v>103</v>
      </c>
      <c r="B58">
        <v>27</v>
      </c>
    </row>
    <row r="59" spans="1:2" x14ac:dyDescent="0.25">
      <c r="A59">
        <v>104</v>
      </c>
      <c r="B59">
        <v>24</v>
      </c>
    </row>
    <row r="60" spans="1:2" x14ac:dyDescent="0.25">
      <c r="A60">
        <v>105</v>
      </c>
      <c r="B60">
        <v>27</v>
      </c>
    </row>
    <row r="61" spans="1:2" x14ac:dyDescent="0.25">
      <c r="A61">
        <v>106</v>
      </c>
      <c r="B61">
        <v>36</v>
      </c>
    </row>
    <row r="62" spans="1:2" x14ac:dyDescent="0.25">
      <c r="A62">
        <v>107</v>
      </c>
      <c r="B62">
        <v>35</v>
      </c>
    </row>
    <row r="63" spans="1:2" x14ac:dyDescent="0.25">
      <c r="A63">
        <v>108</v>
      </c>
      <c r="B63">
        <v>30</v>
      </c>
    </row>
    <row r="64" spans="1:2" x14ac:dyDescent="0.25">
      <c r="A64">
        <v>109</v>
      </c>
      <c r="B64">
        <v>24</v>
      </c>
    </row>
    <row r="65" spans="1:2" x14ac:dyDescent="0.25">
      <c r="A65">
        <v>110</v>
      </c>
      <c r="B65">
        <v>66</v>
      </c>
    </row>
    <row r="66" spans="1:2" x14ac:dyDescent="0.25">
      <c r="A66">
        <v>111</v>
      </c>
      <c r="B66">
        <v>20</v>
      </c>
    </row>
    <row r="67" spans="1:2" x14ac:dyDescent="0.25">
      <c r="A67">
        <v>112</v>
      </c>
      <c r="B67">
        <v>17</v>
      </c>
    </row>
    <row r="68" spans="1:2" x14ac:dyDescent="0.25">
      <c r="A68">
        <v>113</v>
      </c>
      <c r="B68">
        <v>31</v>
      </c>
    </row>
    <row r="69" spans="1:2" x14ac:dyDescent="0.25">
      <c r="A69">
        <v>114</v>
      </c>
      <c r="B69">
        <v>28</v>
      </c>
    </row>
    <row r="70" spans="1:2" x14ac:dyDescent="0.25">
      <c r="A70">
        <v>115</v>
      </c>
      <c r="B70">
        <v>32</v>
      </c>
    </row>
    <row r="71" spans="1:2" x14ac:dyDescent="0.25">
      <c r="A71">
        <v>116</v>
      </c>
      <c r="B71">
        <v>40</v>
      </c>
    </row>
    <row r="72" spans="1:2" x14ac:dyDescent="0.25">
      <c r="A72">
        <v>117</v>
      </c>
      <c r="B72">
        <v>37</v>
      </c>
    </row>
    <row r="73" spans="1:2" x14ac:dyDescent="0.25">
      <c r="A73">
        <v>118</v>
      </c>
      <c r="B73">
        <v>30</v>
      </c>
    </row>
    <row r="74" spans="1:2" x14ac:dyDescent="0.25">
      <c r="A74">
        <v>119</v>
      </c>
      <c r="B74">
        <v>24</v>
      </c>
    </row>
    <row r="75" spans="1:2" x14ac:dyDescent="0.25">
      <c r="A75">
        <v>121</v>
      </c>
      <c r="B75">
        <v>20</v>
      </c>
    </row>
    <row r="76" spans="1:2" x14ac:dyDescent="0.25">
      <c r="A76">
        <v>122</v>
      </c>
      <c r="B76">
        <v>17</v>
      </c>
    </row>
    <row r="77" spans="1:2" x14ac:dyDescent="0.25">
      <c r="A77">
        <v>123</v>
      </c>
      <c r="B77">
        <v>31</v>
      </c>
    </row>
    <row r="78" spans="1:2" x14ac:dyDescent="0.25">
      <c r="A78">
        <v>124</v>
      </c>
      <c r="B78">
        <v>28</v>
      </c>
    </row>
    <row r="79" spans="1:2" x14ac:dyDescent="0.25">
      <c r="A79">
        <v>125</v>
      </c>
      <c r="B79">
        <v>32</v>
      </c>
    </row>
    <row r="80" spans="1:2" x14ac:dyDescent="0.25">
      <c r="A80">
        <v>126</v>
      </c>
      <c r="B80">
        <v>40</v>
      </c>
    </row>
    <row r="81" spans="1:2" x14ac:dyDescent="0.25">
      <c r="A81">
        <v>127</v>
      </c>
      <c r="B81">
        <v>37</v>
      </c>
    </row>
    <row r="82" spans="1:2" x14ac:dyDescent="0.25">
      <c r="A82">
        <v>128</v>
      </c>
      <c r="B82">
        <v>30</v>
      </c>
    </row>
    <row r="83" spans="1:2" x14ac:dyDescent="0.25">
      <c r="A83">
        <v>129</v>
      </c>
      <c r="B83">
        <v>24</v>
      </c>
    </row>
  </sheetData>
  <sortState xmlns:xlrd2="http://schemas.microsoft.com/office/spreadsheetml/2017/richdata2" ref="A2:B83">
    <sortCondition ref="A1:A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McClurg, Christopher A</cp:lastModifiedBy>
  <dcterms:created xsi:type="dcterms:W3CDTF">2025-04-21T13:20:39Z</dcterms:created>
  <dcterms:modified xsi:type="dcterms:W3CDTF">2025-06-16T12:23:35Z</dcterms:modified>
</cp:coreProperties>
</file>