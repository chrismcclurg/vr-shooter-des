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cam7498_psu_edu/Documents/research/3_shooter/shooter-gnn/2025-04/dat/definition/"/>
    </mc:Choice>
  </mc:AlternateContent>
  <xr:revisionPtr revIDLastSave="708" documentId="13_ncr:1_{C9160A41-A83F-49D8-8E3E-EDF5EDFCC1A8}" xr6:coauthVersionLast="47" xr6:coauthVersionMax="47" xr10:uidLastSave="{8BC12D0B-5257-46BA-A86E-DA14CACB7194}"/>
  <bookViews>
    <workbookView xWindow="-2314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Sheet1!$C$1:$C$35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" i="1"/>
</calcChain>
</file>

<file path=xl/sharedStrings.xml><?xml version="1.0" encoding="utf-8"?>
<sst xmlns="http://schemas.openxmlformats.org/spreadsheetml/2006/main" count="71" uniqueCount="71">
  <si>
    <t>node</t>
  </si>
  <si>
    <t>access</t>
  </si>
  <si>
    <t>location</t>
  </si>
  <si>
    <t>connectivity</t>
  </si>
  <si>
    <t>inside</t>
  </si>
  <si>
    <t>13, 105</t>
  </si>
  <si>
    <t>is_outside</t>
  </si>
  <si>
    <t>is_hallway</t>
  </si>
  <si>
    <t>is_classroom</t>
  </si>
  <si>
    <t>is_common</t>
  </si>
  <si>
    <t>is_entrance</t>
  </si>
  <si>
    <t>is_stair</t>
  </si>
  <si>
    <t>outside_000</t>
  </si>
  <si>
    <t>storage_002</t>
  </si>
  <si>
    <t>storage_001</t>
  </si>
  <si>
    <t>storage_005</t>
  </si>
  <si>
    <t>restroom_003</t>
  </si>
  <si>
    <t>restroom_004</t>
  </si>
  <si>
    <t>restroom_006</t>
  </si>
  <si>
    <t>teacher_lounge_007</t>
  </si>
  <si>
    <t>library_010</t>
  </si>
  <si>
    <t>storage_011</t>
  </si>
  <si>
    <t>hallway_012</t>
  </si>
  <si>
    <t>hallway_013</t>
  </si>
  <si>
    <t>hallway_014</t>
  </si>
  <si>
    <t>hallway_015</t>
  </si>
  <si>
    <t>hallway_016</t>
  </si>
  <si>
    <t>hallway_017</t>
  </si>
  <si>
    <t>pc_lab_008</t>
  </si>
  <si>
    <t>classroom_102</t>
  </si>
  <si>
    <t>classroom_103</t>
  </si>
  <si>
    <t>classroom_104</t>
  </si>
  <si>
    <t>classroom_105</t>
  </si>
  <si>
    <t>classroom_106</t>
  </si>
  <si>
    <t>classroom_108</t>
  </si>
  <si>
    <t>classroom_109</t>
  </si>
  <si>
    <t>classroom_110</t>
  </si>
  <si>
    <t>classroom_111</t>
  </si>
  <si>
    <t>classroom_112</t>
  </si>
  <si>
    <t>classroom_116</t>
  </si>
  <si>
    <t>classroom_126</t>
  </si>
  <si>
    <t>classroom_127</t>
  </si>
  <si>
    <t>classroom_129</t>
  </si>
  <si>
    <t>classroom_130</t>
  </si>
  <si>
    <t>classroom_131</t>
  </si>
  <si>
    <t>classroom_132</t>
  </si>
  <si>
    <t>6, 16</t>
  </si>
  <si>
    <t>10, 17</t>
  </si>
  <si>
    <t>0, 8, 11, 17</t>
  </si>
  <si>
    <t>10, 12, 15, 17</t>
  </si>
  <si>
    <t>12, 104</t>
  </si>
  <si>
    <t>12, 103</t>
  </si>
  <si>
    <t>13, 106</t>
  </si>
  <si>
    <t>12, 110</t>
  </si>
  <si>
    <t>12, 109</t>
  </si>
  <si>
    <t>13, 112</t>
  </si>
  <si>
    <t>13, 111</t>
  </si>
  <si>
    <t>17, 127</t>
  </si>
  <si>
    <t>17, 126</t>
  </si>
  <si>
    <t>16, 130</t>
  </si>
  <si>
    <t>16, 129</t>
  </si>
  <si>
    <t>14, 132</t>
  </si>
  <si>
    <t>14, 131</t>
  </si>
  <si>
    <t>0, 14, 116</t>
  </si>
  <si>
    <t>13, 15, 16, 131, 132</t>
  </si>
  <si>
    <t>unique</t>
  </si>
  <si>
    <t>count</t>
  </si>
  <si>
    <t>1, 2, 12, 14, 105, 106, 111, 112</t>
  </si>
  <si>
    <t>0, 8, 10, 16, 126, 127</t>
  </si>
  <si>
    <t>3, 4, 5, 7, 14, 17, 129, 130</t>
  </si>
  <si>
    <t>0, 13, 102, 103, 104, 108, 109, 110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</si>
</sst>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topLeftCell="B1" workbookViewId="0">
      <pane ySplit="1" topLeftCell="A11" activePane="bottomLeft" state="frozen"/>
      <selection pane="bottomLeft" activeCell="E14" sqref="E14"/>
    </sheetView>
  </sheetViews>
  <sheetFormatPr defaultRowHeight="14.5" x14ac:dyDescent="0.35"/>
  <cols>
    <col min="1" max="1" width="4" hidden="1" customWidth="1"/>
    <col min="2" max="2" width="5.1796875" style="6" customWidth="1"/>
    <col min="3" max="3" width="6.81640625" style="6" customWidth="1"/>
    <col min="4" max="4" width="17.90625" bestFit="1" customWidth="1"/>
    <col min="5" max="5" width="24.54296875" style="7" bestFit="1" customWidth="1"/>
    <col min="6" max="6" width="11.81640625" style="6" customWidth="1"/>
    <col min="7" max="7" width="9.36328125" style="6" bestFit="1" customWidth="1"/>
    <col min="8" max="8" width="10.54296875" style="6" bestFit="1" customWidth="1"/>
    <col min="9" max="9" width="7.6328125" style="6" bestFit="1" customWidth="1"/>
    <col min="10" max="10" width="9.453125" style="6" bestFit="1" customWidth="1"/>
    <col min="11" max="11" width="11.54296875" style="6" bestFit="1" customWidth="1"/>
    <col min="12" max="12" width="10.54296875" style="6" bestFit="1" customWidth="1"/>
  </cols>
  <sheetData>
    <row r="1" spans="1:12" x14ac:dyDescent="0.35">
      <c r="A1" s="2"/>
      <c r="B1" s="1" t="s">
        <v>0</v>
      </c>
      <c r="C1" s="1" t="s">
        <v>1</v>
      </c>
      <c r="D1" s="1" t="s">
        <v>2</v>
      </c>
      <c r="E1" s="1" t="s">
        <v>3</v>
      </c>
      <c r="F1" s="4" t="s">
        <v>4</v>
      </c>
      <c r="G1" s="4" t="s">
        <v>6</v>
      </c>
      <c r="H1" s="4" t="s">
        <v>10</v>
      </c>
      <c r="I1" s="4" t="s">
        <v>11</v>
      </c>
      <c r="J1" s="4" t="s">
        <v>7</v>
      </c>
      <c r="K1" s="4" t="s">
        <v>8</v>
      </c>
      <c r="L1" s="4" t="s">
        <v>9</v>
      </c>
    </row>
    <row r="2" spans="1:12" x14ac:dyDescent="0.35">
      <c r="A2" s="1">
        <v>0</v>
      </c>
      <c r="B2" s="5">
        <v>0</v>
      </c>
      <c r="C2" s="5">
        <v>1</v>
      </c>
      <c r="D2" s="2" t="s">
        <v>12</v>
      </c>
      <c r="E2" s="3" t="s">
        <v>49</v>
      </c>
      <c r="F2" s="5">
        <v>0</v>
      </c>
      <c r="G2" s="5">
        <v>1</v>
      </c>
      <c r="H2" s="5">
        <v>0</v>
      </c>
      <c r="I2" s="5">
        <v>0</v>
      </c>
      <c r="J2" s="5">
        <v>0</v>
      </c>
      <c r="K2" s="5">
        <v>0</v>
      </c>
      <c r="L2" s="5">
        <v>0</v>
      </c>
    </row>
    <row r="3" spans="1:12" x14ac:dyDescent="0.35">
      <c r="A3" s="1">
        <v>1</v>
      </c>
      <c r="B3" s="5">
        <v>1</v>
      </c>
      <c r="C3" s="5">
        <v>0</v>
      </c>
      <c r="D3" s="2" t="s">
        <v>14</v>
      </c>
      <c r="E3" s="3">
        <v>13</v>
      </c>
      <c r="F3" s="5">
        <f>VLOOKUP(B3, Sheet2!$A$2:$B$35, 2, FALSE)</f>
        <v>24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</row>
    <row r="4" spans="1:12" x14ac:dyDescent="0.35">
      <c r="A4" s="1">
        <v>2</v>
      </c>
      <c r="B4" s="5">
        <v>2</v>
      </c>
      <c r="C4" s="5">
        <v>0</v>
      </c>
      <c r="D4" s="2" t="s">
        <v>13</v>
      </c>
      <c r="E4" s="3">
        <v>13</v>
      </c>
      <c r="F4" s="5">
        <f>VLOOKUP(B4, Sheet2!$A$2:$B$35, 2, FALSE)</f>
        <v>24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</row>
    <row r="5" spans="1:12" x14ac:dyDescent="0.35">
      <c r="A5" s="1">
        <v>3</v>
      </c>
      <c r="B5" s="5">
        <v>3</v>
      </c>
      <c r="C5" s="5">
        <v>1</v>
      </c>
      <c r="D5" s="2" t="s">
        <v>16</v>
      </c>
      <c r="E5" s="3">
        <v>16</v>
      </c>
      <c r="F5" s="5">
        <f>VLOOKUP(B5, Sheet2!$A$2:$B$35, 2, FALSE)</f>
        <v>40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</row>
    <row r="6" spans="1:12" x14ac:dyDescent="0.35">
      <c r="A6" s="1">
        <v>4</v>
      </c>
      <c r="B6" s="5">
        <v>4</v>
      </c>
      <c r="C6" s="5">
        <v>1</v>
      </c>
      <c r="D6" s="2" t="s">
        <v>17</v>
      </c>
      <c r="E6" s="3">
        <v>16</v>
      </c>
      <c r="F6" s="5">
        <f>VLOOKUP(B6, Sheet2!$A$2:$B$35, 2, FALSE)</f>
        <v>50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</v>
      </c>
    </row>
    <row r="7" spans="1:12" x14ac:dyDescent="0.35">
      <c r="A7" s="1">
        <v>5</v>
      </c>
      <c r="B7" s="5">
        <v>5</v>
      </c>
      <c r="C7" s="5">
        <v>0</v>
      </c>
      <c r="D7" s="2" t="s">
        <v>15</v>
      </c>
      <c r="E7" s="3">
        <v>16</v>
      </c>
      <c r="F7" s="5">
        <f>VLOOKUP(B7, Sheet2!$A$2:$B$35, 2, FALSE)</f>
        <v>27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</row>
    <row r="8" spans="1:12" x14ac:dyDescent="0.35">
      <c r="A8" s="1">
        <v>6</v>
      </c>
      <c r="B8" s="5">
        <v>6</v>
      </c>
      <c r="C8" s="5">
        <v>1</v>
      </c>
      <c r="D8" s="2" t="s">
        <v>18</v>
      </c>
      <c r="E8" s="3">
        <v>7</v>
      </c>
      <c r="F8" s="5">
        <f>VLOOKUP(B8, Sheet2!$A$2:$B$35, 2, FALSE)</f>
        <v>20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</row>
    <row r="9" spans="1:12" x14ac:dyDescent="0.35">
      <c r="A9" s="1">
        <v>7</v>
      </c>
      <c r="B9" s="5">
        <v>7</v>
      </c>
      <c r="C9" s="5">
        <v>1</v>
      </c>
      <c r="D9" s="2" t="s">
        <v>19</v>
      </c>
      <c r="E9" s="3" t="s">
        <v>46</v>
      </c>
      <c r="F9" s="5">
        <f>VLOOKUP(B9, Sheet2!$A$2:$B$35, 2, FALSE)</f>
        <v>120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</row>
    <row r="10" spans="1:12" x14ac:dyDescent="0.35">
      <c r="A10" s="1">
        <v>8</v>
      </c>
      <c r="B10" s="5">
        <v>8</v>
      </c>
      <c r="C10" s="5">
        <v>1</v>
      </c>
      <c r="D10" s="2" t="s">
        <v>28</v>
      </c>
      <c r="E10" s="3" t="s">
        <v>47</v>
      </c>
      <c r="F10" s="5">
        <f>VLOOKUP(B10, Sheet2!$A$2:$B$35, 2, FALSE)</f>
        <v>54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</row>
    <row r="11" spans="1:12" x14ac:dyDescent="0.35">
      <c r="A11" s="1">
        <v>9</v>
      </c>
      <c r="B11" s="5">
        <v>10</v>
      </c>
      <c r="C11" s="5">
        <v>1</v>
      </c>
      <c r="D11" s="2" t="s">
        <v>20</v>
      </c>
      <c r="E11" s="3" t="s">
        <v>48</v>
      </c>
      <c r="F11" s="5">
        <f>VLOOKUP(B11, Sheet2!$A$2:$B$35, 2, FALSE)</f>
        <v>244</v>
      </c>
      <c r="G11" s="5">
        <v>0</v>
      </c>
      <c r="H11" s="5">
        <v>1</v>
      </c>
      <c r="I11" s="5">
        <v>0</v>
      </c>
      <c r="J11" s="5">
        <v>0</v>
      </c>
      <c r="K11" s="5">
        <v>0</v>
      </c>
      <c r="L11" s="5">
        <v>1</v>
      </c>
    </row>
    <row r="12" spans="1:12" x14ac:dyDescent="0.35">
      <c r="A12" s="1">
        <v>10</v>
      </c>
      <c r="B12" s="5">
        <v>11</v>
      </c>
      <c r="C12" s="5">
        <v>0</v>
      </c>
      <c r="D12" s="2" t="s">
        <v>21</v>
      </c>
      <c r="E12" s="3">
        <v>10</v>
      </c>
      <c r="F12" s="5">
        <f>VLOOKUP(B12, Sheet2!$A$2:$B$35, 2, FALSE)</f>
        <v>25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</row>
    <row r="13" spans="1:12" x14ac:dyDescent="0.35">
      <c r="A13" s="1">
        <v>11</v>
      </c>
      <c r="B13" s="5">
        <v>12</v>
      </c>
      <c r="C13" s="5">
        <v>1</v>
      </c>
      <c r="D13" s="2" t="s">
        <v>22</v>
      </c>
      <c r="E13" s="3" t="s">
        <v>70</v>
      </c>
      <c r="F13" s="5">
        <f>VLOOKUP(B13, Sheet2!$A$2:$B$35, 2, FALSE)</f>
        <v>110</v>
      </c>
      <c r="G13" s="5">
        <v>0</v>
      </c>
      <c r="H13" s="5">
        <v>1</v>
      </c>
      <c r="I13" s="5">
        <v>0</v>
      </c>
      <c r="J13" s="5">
        <v>1</v>
      </c>
      <c r="K13" s="5">
        <v>0</v>
      </c>
      <c r="L13" s="5">
        <v>0</v>
      </c>
    </row>
    <row r="14" spans="1:12" x14ac:dyDescent="0.35">
      <c r="A14" s="1">
        <v>12</v>
      </c>
      <c r="B14" s="5">
        <v>13</v>
      </c>
      <c r="C14" s="5">
        <v>1</v>
      </c>
      <c r="D14" s="2" t="s">
        <v>23</v>
      </c>
      <c r="E14" s="3" t="s">
        <v>67</v>
      </c>
      <c r="F14" s="5">
        <f>VLOOKUP(B14, Sheet2!$A$2:$B$35, 2, FALSE)</f>
        <v>100</v>
      </c>
      <c r="G14" s="5">
        <v>0</v>
      </c>
      <c r="H14" s="5">
        <v>0</v>
      </c>
      <c r="I14" s="5">
        <v>0</v>
      </c>
      <c r="J14" s="5">
        <v>1</v>
      </c>
      <c r="K14" s="5">
        <v>0</v>
      </c>
      <c r="L14" s="5">
        <v>0</v>
      </c>
    </row>
    <row r="15" spans="1:12" x14ac:dyDescent="0.35">
      <c r="A15" s="1">
        <v>13</v>
      </c>
      <c r="B15" s="5">
        <v>14</v>
      </c>
      <c r="C15" s="5">
        <v>1</v>
      </c>
      <c r="D15" s="2" t="s">
        <v>24</v>
      </c>
      <c r="E15" s="3" t="s">
        <v>64</v>
      </c>
      <c r="F15" s="5">
        <f>VLOOKUP(B15, Sheet2!$A$2:$B$35, 2, FALSE)</f>
        <v>92</v>
      </c>
      <c r="G15" s="5">
        <v>0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</row>
    <row r="16" spans="1:12" x14ac:dyDescent="0.35">
      <c r="A16" s="1">
        <v>14</v>
      </c>
      <c r="B16" s="5">
        <v>15</v>
      </c>
      <c r="C16" s="5">
        <v>1</v>
      </c>
      <c r="D16" s="2" t="s">
        <v>25</v>
      </c>
      <c r="E16" s="3" t="s">
        <v>63</v>
      </c>
      <c r="F16" s="5">
        <f>VLOOKUP(B16, Sheet2!$A$2:$B$35, 2, FALSE)</f>
        <v>30</v>
      </c>
      <c r="G16" s="5">
        <v>0</v>
      </c>
      <c r="H16" s="5">
        <v>1</v>
      </c>
      <c r="I16" s="5">
        <v>0</v>
      </c>
      <c r="J16" s="5">
        <v>1</v>
      </c>
      <c r="K16" s="5">
        <v>0</v>
      </c>
      <c r="L16" s="5">
        <v>0</v>
      </c>
    </row>
    <row r="17" spans="1:12" x14ac:dyDescent="0.35">
      <c r="A17" s="1">
        <v>15</v>
      </c>
      <c r="B17" s="5">
        <v>16</v>
      </c>
      <c r="C17" s="5">
        <v>1</v>
      </c>
      <c r="D17" s="2" t="s">
        <v>26</v>
      </c>
      <c r="E17" s="3" t="s">
        <v>69</v>
      </c>
      <c r="F17" s="5">
        <f>VLOOKUP(B17, Sheet2!$A$2:$B$35, 2, FALSE)</f>
        <v>138</v>
      </c>
      <c r="G17" s="5">
        <v>0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</row>
    <row r="18" spans="1:12" x14ac:dyDescent="0.35">
      <c r="A18" s="1">
        <v>16</v>
      </c>
      <c r="B18" s="5">
        <v>17</v>
      </c>
      <c r="C18" s="5">
        <v>1</v>
      </c>
      <c r="D18" s="2" t="s">
        <v>27</v>
      </c>
      <c r="E18" s="3" t="s">
        <v>68</v>
      </c>
      <c r="F18" s="5">
        <f>VLOOKUP(B18, Sheet2!$A$2:$B$35, 2, FALSE)</f>
        <v>90</v>
      </c>
      <c r="G18" s="5">
        <v>0</v>
      </c>
      <c r="H18" s="5">
        <v>1</v>
      </c>
      <c r="I18" s="5">
        <v>0</v>
      </c>
      <c r="J18" s="5">
        <v>1</v>
      </c>
      <c r="K18" s="5">
        <v>0</v>
      </c>
      <c r="L18" s="5">
        <v>0</v>
      </c>
    </row>
    <row r="19" spans="1:12" x14ac:dyDescent="0.35">
      <c r="A19" s="1">
        <v>17</v>
      </c>
      <c r="B19" s="5">
        <v>102</v>
      </c>
      <c r="C19" s="5">
        <v>1</v>
      </c>
      <c r="D19" s="2" t="s">
        <v>29</v>
      </c>
      <c r="E19" s="3">
        <v>12</v>
      </c>
      <c r="F19" s="5">
        <f>VLOOKUP(B19, Sheet2!$A$2:$B$35, 2, FALSE)</f>
        <v>81</v>
      </c>
      <c r="G19" s="5">
        <v>0</v>
      </c>
      <c r="H19" s="5">
        <v>0</v>
      </c>
      <c r="I19" s="5">
        <v>0</v>
      </c>
      <c r="J19" s="5">
        <v>0</v>
      </c>
      <c r="K19" s="5">
        <v>1</v>
      </c>
      <c r="L19" s="5">
        <v>0</v>
      </c>
    </row>
    <row r="20" spans="1:12" x14ac:dyDescent="0.35">
      <c r="A20" s="1">
        <v>18</v>
      </c>
      <c r="B20" s="5">
        <v>103</v>
      </c>
      <c r="C20" s="5">
        <v>1</v>
      </c>
      <c r="D20" s="2" t="s">
        <v>30</v>
      </c>
      <c r="E20" s="3" t="s">
        <v>50</v>
      </c>
      <c r="F20" s="5">
        <f>VLOOKUP(B20, Sheet2!$A$2:$B$35, 2, FALSE)</f>
        <v>72</v>
      </c>
      <c r="G20" s="5">
        <v>0</v>
      </c>
      <c r="H20" s="5">
        <v>0</v>
      </c>
      <c r="I20" s="5">
        <v>0</v>
      </c>
      <c r="J20" s="5">
        <v>0</v>
      </c>
      <c r="K20" s="5">
        <v>1</v>
      </c>
      <c r="L20" s="5">
        <v>0</v>
      </c>
    </row>
    <row r="21" spans="1:12" x14ac:dyDescent="0.35">
      <c r="A21" s="1">
        <v>19</v>
      </c>
      <c r="B21" s="5">
        <v>104</v>
      </c>
      <c r="C21" s="5">
        <v>1</v>
      </c>
      <c r="D21" s="2" t="s">
        <v>31</v>
      </c>
      <c r="E21" s="3" t="s">
        <v>51</v>
      </c>
      <c r="F21" s="5">
        <f>VLOOKUP(B21, Sheet2!$A$2:$B$35, 2, FALSE)</f>
        <v>72</v>
      </c>
      <c r="G21" s="5">
        <v>0</v>
      </c>
      <c r="H21" s="5">
        <v>0</v>
      </c>
      <c r="I21" s="5">
        <v>0</v>
      </c>
      <c r="J21" s="5">
        <v>0</v>
      </c>
      <c r="K21" s="5">
        <v>1</v>
      </c>
      <c r="L21" s="5">
        <v>0</v>
      </c>
    </row>
    <row r="22" spans="1:12" x14ac:dyDescent="0.35">
      <c r="A22" s="1">
        <v>20</v>
      </c>
      <c r="B22" s="5">
        <v>105</v>
      </c>
      <c r="C22" s="5">
        <v>1</v>
      </c>
      <c r="D22" s="2" t="s">
        <v>32</v>
      </c>
      <c r="E22" s="3" t="s">
        <v>52</v>
      </c>
      <c r="F22" s="5">
        <f>VLOOKUP(B22, Sheet2!$A$2:$B$35, 2, FALSE)</f>
        <v>81</v>
      </c>
      <c r="G22" s="5">
        <v>0</v>
      </c>
      <c r="H22" s="5">
        <v>0</v>
      </c>
      <c r="I22" s="5">
        <v>0</v>
      </c>
      <c r="J22" s="5">
        <v>0</v>
      </c>
      <c r="K22" s="5">
        <v>1</v>
      </c>
      <c r="L22" s="5">
        <v>0</v>
      </c>
    </row>
    <row r="23" spans="1:12" x14ac:dyDescent="0.35">
      <c r="A23" s="1">
        <v>21</v>
      </c>
      <c r="B23" s="5">
        <v>106</v>
      </c>
      <c r="C23" s="5">
        <v>1</v>
      </c>
      <c r="D23" s="2" t="s">
        <v>33</v>
      </c>
      <c r="E23" s="3" t="s">
        <v>5</v>
      </c>
      <c r="F23" s="5">
        <f>VLOOKUP(B23, Sheet2!$A$2:$B$35, 2, FALSE)</f>
        <v>72</v>
      </c>
      <c r="G23" s="5">
        <v>0</v>
      </c>
      <c r="H23" s="5">
        <v>0</v>
      </c>
      <c r="I23" s="5">
        <v>0</v>
      </c>
      <c r="J23" s="5">
        <v>0</v>
      </c>
      <c r="K23" s="5">
        <v>1</v>
      </c>
      <c r="L23" s="5">
        <v>0</v>
      </c>
    </row>
    <row r="24" spans="1:12" x14ac:dyDescent="0.35">
      <c r="A24" s="1">
        <v>22</v>
      </c>
      <c r="B24" s="5">
        <v>108</v>
      </c>
      <c r="C24" s="5">
        <v>1</v>
      </c>
      <c r="D24" s="2" t="s">
        <v>34</v>
      </c>
      <c r="E24" s="3">
        <v>12</v>
      </c>
      <c r="F24" s="5">
        <f>VLOOKUP(B24, Sheet2!$A$2:$B$35, 2, FALSE)</f>
        <v>81</v>
      </c>
      <c r="G24" s="5">
        <v>0</v>
      </c>
      <c r="H24" s="5">
        <v>0</v>
      </c>
      <c r="I24" s="5">
        <v>0</v>
      </c>
      <c r="J24" s="5">
        <v>0</v>
      </c>
      <c r="K24" s="5">
        <v>1</v>
      </c>
      <c r="L24" s="5">
        <v>0</v>
      </c>
    </row>
    <row r="25" spans="1:12" x14ac:dyDescent="0.35">
      <c r="A25" s="1">
        <v>23</v>
      </c>
      <c r="B25" s="5">
        <v>109</v>
      </c>
      <c r="C25" s="5">
        <v>1</v>
      </c>
      <c r="D25" s="2" t="s">
        <v>35</v>
      </c>
      <c r="E25" s="3" t="s">
        <v>53</v>
      </c>
      <c r="F25" s="5">
        <f>VLOOKUP(B25, Sheet2!$A$2:$B$35, 2, FALSE)</f>
        <v>72</v>
      </c>
      <c r="G25" s="5">
        <v>0</v>
      </c>
      <c r="H25" s="5">
        <v>0</v>
      </c>
      <c r="I25" s="5">
        <v>0</v>
      </c>
      <c r="J25" s="5">
        <v>0</v>
      </c>
      <c r="K25" s="5">
        <v>1</v>
      </c>
      <c r="L25" s="5">
        <v>0</v>
      </c>
    </row>
    <row r="26" spans="1:12" x14ac:dyDescent="0.35">
      <c r="A26" s="1">
        <v>24</v>
      </c>
      <c r="B26" s="5">
        <v>110</v>
      </c>
      <c r="C26" s="5">
        <v>1</v>
      </c>
      <c r="D26" s="2" t="s">
        <v>36</v>
      </c>
      <c r="E26" s="3" t="s">
        <v>54</v>
      </c>
      <c r="F26" s="5">
        <f>VLOOKUP(B26, Sheet2!$A$2:$B$35, 2, FALSE)</f>
        <v>72</v>
      </c>
      <c r="G26" s="5">
        <v>0</v>
      </c>
      <c r="H26" s="5">
        <v>0</v>
      </c>
      <c r="I26" s="5">
        <v>0</v>
      </c>
      <c r="J26" s="5">
        <v>0</v>
      </c>
      <c r="K26" s="5">
        <v>1</v>
      </c>
      <c r="L26" s="5">
        <v>0</v>
      </c>
    </row>
    <row r="27" spans="1:12" x14ac:dyDescent="0.35">
      <c r="A27" s="1">
        <v>25</v>
      </c>
      <c r="B27" s="5">
        <v>111</v>
      </c>
      <c r="C27" s="5">
        <v>1</v>
      </c>
      <c r="D27" s="2" t="s">
        <v>37</v>
      </c>
      <c r="E27" s="3" t="s">
        <v>55</v>
      </c>
      <c r="F27" s="5">
        <f>VLOOKUP(B27, Sheet2!$A$2:$B$35, 2, FALSE)</f>
        <v>81</v>
      </c>
      <c r="G27" s="5">
        <v>0</v>
      </c>
      <c r="H27" s="5">
        <v>0</v>
      </c>
      <c r="I27" s="5">
        <v>0</v>
      </c>
      <c r="J27" s="5">
        <v>0</v>
      </c>
      <c r="K27" s="5">
        <v>1</v>
      </c>
      <c r="L27" s="5">
        <v>0</v>
      </c>
    </row>
    <row r="28" spans="1:12" x14ac:dyDescent="0.35">
      <c r="A28" s="1">
        <v>26</v>
      </c>
      <c r="B28" s="5">
        <v>112</v>
      </c>
      <c r="C28" s="5">
        <v>1</v>
      </c>
      <c r="D28" s="2" t="s">
        <v>38</v>
      </c>
      <c r="E28" s="3" t="s">
        <v>56</v>
      </c>
      <c r="F28" s="5">
        <f>VLOOKUP(B28, Sheet2!$A$2:$B$35, 2, FALSE)</f>
        <v>72</v>
      </c>
      <c r="G28" s="5">
        <v>0</v>
      </c>
      <c r="H28" s="5">
        <v>0</v>
      </c>
      <c r="I28" s="5">
        <v>0</v>
      </c>
      <c r="J28" s="5">
        <v>0</v>
      </c>
      <c r="K28" s="5">
        <v>1</v>
      </c>
      <c r="L28" s="5">
        <v>0</v>
      </c>
    </row>
    <row r="29" spans="1:12" x14ac:dyDescent="0.35">
      <c r="A29" s="1">
        <v>27</v>
      </c>
      <c r="B29" s="5">
        <v>116</v>
      </c>
      <c r="C29" s="5">
        <v>1</v>
      </c>
      <c r="D29" s="2" t="s">
        <v>39</v>
      </c>
      <c r="E29" s="3">
        <v>15</v>
      </c>
      <c r="F29" s="5">
        <f>VLOOKUP(B29, Sheet2!$A$2:$B$35, 2, FALSE)</f>
        <v>90</v>
      </c>
      <c r="G29" s="5">
        <v>0</v>
      </c>
      <c r="H29" s="5">
        <v>0</v>
      </c>
      <c r="I29" s="5">
        <v>0</v>
      </c>
      <c r="J29" s="5">
        <v>0</v>
      </c>
      <c r="K29" s="5">
        <v>1</v>
      </c>
      <c r="L29" s="5">
        <v>0</v>
      </c>
    </row>
    <row r="30" spans="1:12" x14ac:dyDescent="0.35">
      <c r="A30" s="1">
        <v>28</v>
      </c>
      <c r="B30" s="5">
        <v>126</v>
      </c>
      <c r="C30" s="5">
        <v>1</v>
      </c>
      <c r="D30" s="2" t="s">
        <v>40</v>
      </c>
      <c r="E30" s="3" t="s">
        <v>57</v>
      </c>
      <c r="F30" s="5">
        <f>VLOOKUP(B30, Sheet2!$A$2:$B$35, 2, FALSE)</f>
        <v>81</v>
      </c>
      <c r="G30" s="5">
        <v>0</v>
      </c>
      <c r="H30" s="5">
        <v>0</v>
      </c>
      <c r="I30" s="5">
        <v>0</v>
      </c>
      <c r="J30" s="5">
        <v>0</v>
      </c>
      <c r="K30" s="5">
        <v>1</v>
      </c>
      <c r="L30" s="5">
        <v>0</v>
      </c>
    </row>
    <row r="31" spans="1:12" x14ac:dyDescent="0.35">
      <c r="A31" s="1">
        <v>29</v>
      </c>
      <c r="B31" s="5">
        <v>127</v>
      </c>
      <c r="C31" s="5">
        <v>1</v>
      </c>
      <c r="D31" s="2" t="s">
        <v>41</v>
      </c>
      <c r="E31" s="3" t="s">
        <v>58</v>
      </c>
      <c r="F31" s="5">
        <f>VLOOKUP(B31, Sheet2!$A$2:$B$35, 2, FALSE)</f>
        <v>72</v>
      </c>
      <c r="G31" s="5">
        <v>0</v>
      </c>
      <c r="H31" s="5">
        <v>0</v>
      </c>
      <c r="I31" s="5">
        <v>0</v>
      </c>
      <c r="J31" s="5">
        <v>0</v>
      </c>
      <c r="K31" s="5">
        <v>1</v>
      </c>
      <c r="L31" s="5">
        <v>0</v>
      </c>
    </row>
    <row r="32" spans="1:12" x14ac:dyDescent="0.35">
      <c r="A32" s="1">
        <v>30</v>
      </c>
      <c r="B32" s="5">
        <v>129</v>
      </c>
      <c r="C32" s="5">
        <v>1</v>
      </c>
      <c r="D32" s="2" t="s">
        <v>42</v>
      </c>
      <c r="E32" s="3" t="s">
        <v>59</v>
      </c>
      <c r="F32" s="5">
        <f>VLOOKUP(B32, Sheet2!$A$2:$B$35, 2, FALSE)</f>
        <v>72</v>
      </c>
      <c r="G32" s="5">
        <v>0</v>
      </c>
      <c r="H32" s="5">
        <v>0</v>
      </c>
      <c r="I32" s="5">
        <v>0</v>
      </c>
      <c r="J32" s="5">
        <v>0</v>
      </c>
      <c r="K32" s="5">
        <v>1</v>
      </c>
      <c r="L32" s="5">
        <v>0</v>
      </c>
    </row>
    <row r="33" spans="1:12" x14ac:dyDescent="0.35">
      <c r="A33" s="1">
        <v>31</v>
      </c>
      <c r="B33" s="5">
        <v>130</v>
      </c>
      <c r="C33" s="5">
        <v>1</v>
      </c>
      <c r="D33" s="2" t="s">
        <v>43</v>
      </c>
      <c r="E33" s="3" t="s">
        <v>60</v>
      </c>
      <c r="F33" s="5">
        <f>VLOOKUP(B33, Sheet2!$A$2:$B$35, 2, FALSE)</f>
        <v>81</v>
      </c>
      <c r="G33" s="5">
        <v>0</v>
      </c>
      <c r="H33" s="5">
        <v>0</v>
      </c>
      <c r="I33" s="5">
        <v>0</v>
      </c>
      <c r="J33" s="5">
        <v>0</v>
      </c>
      <c r="K33" s="5">
        <v>1</v>
      </c>
      <c r="L33" s="5">
        <v>0</v>
      </c>
    </row>
    <row r="34" spans="1:12" x14ac:dyDescent="0.35">
      <c r="A34" s="1">
        <v>32</v>
      </c>
      <c r="B34" s="5">
        <v>131</v>
      </c>
      <c r="C34" s="5">
        <v>1</v>
      </c>
      <c r="D34" s="2" t="s">
        <v>44</v>
      </c>
      <c r="E34" s="3" t="s">
        <v>61</v>
      </c>
      <c r="F34" s="5">
        <f>VLOOKUP(B34, Sheet2!$A$2:$B$35, 2, FALSE)</f>
        <v>72</v>
      </c>
      <c r="G34" s="5">
        <v>0</v>
      </c>
      <c r="H34" s="5">
        <v>0</v>
      </c>
      <c r="I34" s="5">
        <v>0</v>
      </c>
      <c r="J34" s="5">
        <v>0</v>
      </c>
      <c r="K34" s="5">
        <v>1</v>
      </c>
      <c r="L34" s="5">
        <v>0</v>
      </c>
    </row>
    <row r="35" spans="1:12" x14ac:dyDescent="0.35">
      <c r="A35" s="1">
        <v>33</v>
      </c>
      <c r="B35" s="5">
        <v>132</v>
      </c>
      <c r="C35" s="5">
        <v>1</v>
      </c>
      <c r="D35" s="2" t="s">
        <v>45</v>
      </c>
      <c r="E35" s="3" t="s">
        <v>62</v>
      </c>
      <c r="F35" s="5">
        <f>VLOOKUP(B35, Sheet2!$A$2:$B$35, 2, FALSE)</f>
        <v>81</v>
      </c>
      <c r="G35" s="5">
        <v>0</v>
      </c>
      <c r="H35" s="5">
        <v>0</v>
      </c>
      <c r="I35" s="5">
        <v>0</v>
      </c>
      <c r="J35" s="5">
        <v>0</v>
      </c>
      <c r="K35" s="5">
        <v>1</v>
      </c>
      <c r="L35" s="5">
        <v>0</v>
      </c>
    </row>
  </sheetData>
  <autoFilter ref="C1:C35" xr:uid="{00000000-0001-0000-0000-000000000000}"/>
  <phoneticPr fontId="2" type="noConversion"/>
  <conditionalFormatting sqref="C1:C1048576">
    <cfRule type="colorScale" priority="1">
      <colorScale>
        <cfvo type="min"/>
        <cfvo type="max"/>
        <color rgb="FFFFEF9C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0DE63-13F0-479D-B889-98224797EAB4}">
  <dimension ref="A1:B35"/>
  <sheetViews>
    <sheetView workbookViewId="0">
      <pane ySplit="1" topLeftCell="A20" activePane="bottomLeft" state="frozen"/>
      <selection pane="bottomLeft" activeCell="E10" sqref="E10"/>
    </sheetView>
  </sheetViews>
  <sheetFormatPr defaultRowHeight="14.5" x14ac:dyDescent="0.35"/>
  <sheetData>
    <row r="1" spans="1:2" x14ac:dyDescent="0.35">
      <c r="A1" t="s">
        <v>65</v>
      </c>
      <c r="B1" t="s">
        <v>66</v>
      </c>
    </row>
    <row r="2" spans="1:2" x14ac:dyDescent="0.35">
      <c r="A2">
        <v>0</v>
      </c>
      <c r="B2">
        <v>1287</v>
      </c>
    </row>
    <row r="3" spans="1:2" x14ac:dyDescent="0.35">
      <c r="A3">
        <v>1</v>
      </c>
      <c r="B3">
        <v>24</v>
      </c>
    </row>
    <row r="4" spans="1:2" x14ac:dyDescent="0.35">
      <c r="A4">
        <v>2</v>
      </c>
      <c r="B4">
        <v>24</v>
      </c>
    </row>
    <row r="5" spans="1:2" x14ac:dyDescent="0.35">
      <c r="A5">
        <v>3</v>
      </c>
      <c r="B5">
        <v>40</v>
      </c>
    </row>
    <row r="6" spans="1:2" x14ac:dyDescent="0.35">
      <c r="A6">
        <v>4</v>
      </c>
      <c r="B6">
        <v>50</v>
      </c>
    </row>
    <row r="7" spans="1:2" x14ac:dyDescent="0.35">
      <c r="A7">
        <v>5</v>
      </c>
      <c r="B7">
        <v>27</v>
      </c>
    </row>
    <row r="8" spans="1:2" x14ac:dyDescent="0.35">
      <c r="A8">
        <v>6</v>
      </c>
      <c r="B8">
        <v>20</v>
      </c>
    </row>
    <row r="9" spans="1:2" x14ac:dyDescent="0.35">
      <c r="A9">
        <v>7</v>
      </c>
      <c r="B9">
        <v>120</v>
      </c>
    </row>
    <row r="10" spans="1:2" x14ac:dyDescent="0.35">
      <c r="A10">
        <v>8</v>
      </c>
      <c r="B10">
        <v>54</v>
      </c>
    </row>
    <row r="11" spans="1:2" x14ac:dyDescent="0.35">
      <c r="A11">
        <v>10</v>
      </c>
      <c r="B11">
        <v>244</v>
      </c>
    </row>
    <row r="12" spans="1:2" x14ac:dyDescent="0.35">
      <c r="A12">
        <v>11</v>
      </c>
      <c r="B12">
        <v>25</v>
      </c>
    </row>
    <row r="13" spans="1:2" x14ac:dyDescent="0.35">
      <c r="A13">
        <v>12</v>
      </c>
      <c r="B13">
        <v>110</v>
      </c>
    </row>
    <row r="14" spans="1:2" x14ac:dyDescent="0.35">
      <c r="A14">
        <v>13</v>
      </c>
      <c r="B14">
        <v>100</v>
      </c>
    </row>
    <row r="15" spans="1:2" x14ac:dyDescent="0.35">
      <c r="A15">
        <v>14</v>
      </c>
      <c r="B15">
        <v>92</v>
      </c>
    </row>
    <row r="16" spans="1:2" x14ac:dyDescent="0.35">
      <c r="A16">
        <v>15</v>
      </c>
      <c r="B16">
        <v>30</v>
      </c>
    </row>
    <row r="17" spans="1:2" x14ac:dyDescent="0.35">
      <c r="A17">
        <v>16</v>
      </c>
      <c r="B17">
        <v>138</v>
      </c>
    </row>
    <row r="18" spans="1:2" x14ac:dyDescent="0.35">
      <c r="A18">
        <v>17</v>
      </c>
      <c r="B18">
        <v>90</v>
      </c>
    </row>
    <row r="19" spans="1:2" x14ac:dyDescent="0.35">
      <c r="A19">
        <v>102</v>
      </c>
      <c r="B19">
        <v>81</v>
      </c>
    </row>
    <row r="20" spans="1:2" x14ac:dyDescent="0.35">
      <c r="A20">
        <v>103</v>
      </c>
      <c r="B20">
        <v>72</v>
      </c>
    </row>
    <row r="21" spans="1:2" x14ac:dyDescent="0.35">
      <c r="A21">
        <v>104</v>
      </c>
      <c r="B21">
        <v>72</v>
      </c>
    </row>
    <row r="22" spans="1:2" x14ac:dyDescent="0.35">
      <c r="A22">
        <v>105</v>
      </c>
      <c r="B22">
        <v>81</v>
      </c>
    </row>
    <row r="23" spans="1:2" x14ac:dyDescent="0.35">
      <c r="A23">
        <v>106</v>
      </c>
      <c r="B23">
        <v>72</v>
      </c>
    </row>
    <row r="24" spans="1:2" x14ac:dyDescent="0.35">
      <c r="A24">
        <v>108</v>
      </c>
      <c r="B24">
        <v>81</v>
      </c>
    </row>
    <row r="25" spans="1:2" x14ac:dyDescent="0.35">
      <c r="A25">
        <v>109</v>
      </c>
      <c r="B25">
        <v>72</v>
      </c>
    </row>
    <row r="26" spans="1:2" x14ac:dyDescent="0.35">
      <c r="A26">
        <v>110</v>
      </c>
      <c r="B26">
        <v>72</v>
      </c>
    </row>
    <row r="27" spans="1:2" x14ac:dyDescent="0.35">
      <c r="A27">
        <v>111</v>
      </c>
      <c r="B27">
        <v>81</v>
      </c>
    </row>
    <row r="28" spans="1:2" x14ac:dyDescent="0.35">
      <c r="A28">
        <v>112</v>
      </c>
      <c r="B28">
        <v>72</v>
      </c>
    </row>
    <row r="29" spans="1:2" x14ac:dyDescent="0.35">
      <c r="A29">
        <v>116</v>
      </c>
      <c r="B29">
        <v>90</v>
      </c>
    </row>
    <row r="30" spans="1:2" x14ac:dyDescent="0.35">
      <c r="A30">
        <v>126</v>
      </c>
      <c r="B30">
        <v>81</v>
      </c>
    </row>
    <row r="31" spans="1:2" x14ac:dyDescent="0.35">
      <c r="A31">
        <v>127</v>
      </c>
      <c r="B31">
        <v>72</v>
      </c>
    </row>
    <row r="32" spans="1:2" x14ac:dyDescent="0.35">
      <c r="A32">
        <v>129</v>
      </c>
      <c r="B32">
        <v>72</v>
      </c>
    </row>
    <row r="33" spans="1:2" x14ac:dyDescent="0.35">
      <c r="A33">
        <v>130</v>
      </c>
      <c r="B33">
        <v>81</v>
      </c>
    </row>
    <row r="34" spans="1:2" x14ac:dyDescent="0.35">
      <c r="A34">
        <v>131</v>
      </c>
      <c r="B34">
        <v>72</v>
      </c>
    </row>
    <row r="35" spans="1:2" x14ac:dyDescent="0.35">
      <c r="A35">
        <v>132</v>
      </c>
      <c r="B35">
        <v>81</v>
      </c>
    </row>
  </sheetData>
  <sortState xmlns:xlrd2="http://schemas.microsoft.com/office/spreadsheetml/2017/richdata2" ref="A2:B83">
    <sortCondition ref="A1:A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McClurg, Christopher A</cp:lastModifiedBy>
  <dcterms:created xsi:type="dcterms:W3CDTF">2025-04-21T13:20:39Z</dcterms:created>
  <dcterms:modified xsi:type="dcterms:W3CDTF">2025-05-20T20:21:02Z</dcterms:modified>
</cp:coreProperties>
</file>